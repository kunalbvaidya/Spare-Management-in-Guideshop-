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SWPL\"/>
    </mc:Choice>
  </mc:AlternateContent>
  <xr:revisionPtr revIDLastSave="0" documentId="13_ncr:1_{14DB02FE-D5AD-4929-86A8-06377141709F}" xr6:coauthVersionLast="47" xr6:coauthVersionMax="47" xr10:uidLastSave="{00000000-0000-0000-0000-000000000000}"/>
  <bookViews>
    <workbookView xWindow="-108" yWindow="-108" windowWidth="23256" windowHeight="12456" xr2:uid="{750B57B0-1AC5-4C2D-93D8-DF2B4DA11CB7}"/>
  </bookViews>
  <sheets>
    <sheet name="FINAL" sheetId="6" r:id="rId1"/>
    <sheet name="Stock Final" sheetId="5" r:id="rId2"/>
    <sheet name="Stock In-Out" sheetId="4" r:id="rId3"/>
    <sheet name="Product" sheetId="1" r:id="rId4"/>
  </sheets>
  <definedNames>
    <definedName name="_xlnm._FilterDatabase" localSheetId="3" hidden="1">Product!$B$1:$M$38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4" l="1"/>
  <c r="L18" i="5"/>
  <c r="L26" i="5"/>
  <c r="L34" i="5"/>
  <c r="L42" i="5"/>
  <c r="L50" i="5"/>
  <c r="L66" i="5"/>
  <c r="L74" i="5"/>
  <c r="L82" i="5"/>
  <c r="L90" i="5"/>
  <c r="L98" i="5"/>
  <c r="L106" i="5"/>
  <c r="L114" i="5"/>
  <c r="L122" i="5"/>
  <c r="L130" i="5"/>
  <c r="L138" i="5"/>
  <c r="L146" i="5"/>
  <c r="L154" i="5"/>
  <c r="L170" i="5"/>
  <c r="L178" i="5"/>
  <c r="L186" i="5"/>
  <c r="L194" i="5"/>
  <c r="L202" i="5"/>
  <c r="L210" i="5"/>
  <c r="L218" i="5"/>
  <c r="L226" i="5"/>
  <c r="L10" i="5"/>
  <c r="M10" i="5" s="1"/>
  <c r="L13" i="5"/>
  <c r="M13" i="5" s="1"/>
  <c r="L68" i="5"/>
  <c r="Q68" i="5" s="1"/>
  <c r="L92" i="5"/>
  <c r="M92" i="5" s="1"/>
  <c r="L121" i="5"/>
  <c r="N121" i="5" s="1"/>
  <c r="L156" i="5"/>
  <c r="M156" i="5" s="1"/>
  <c r="L177" i="5"/>
  <c r="M177" i="5" s="1"/>
  <c r="L201" i="5"/>
  <c r="M201" i="5" s="1"/>
  <c r="L58" i="5"/>
  <c r="L84" i="5"/>
  <c r="L100" i="5"/>
  <c r="L116" i="5"/>
  <c r="L124" i="5"/>
  <c r="L132" i="5"/>
  <c r="L148" i="5"/>
  <c r="M148" i="5" s="1"/>
  <c r="L164" i="5"/>
  <c r="L180" i="5"/>
  <c r="L188" i="5"/>
  <c r="L196" i="5"/>
  <c r="L204" i="5"/>
  <c r="M204" i="5" s="1"/>
  <c r="L212" i="5"/>
  <c r="M212" i="5" s="1"/>
  <c r="L220" i="5"/>
  <c r="L228" i="5"/>
  <c r="L11" i="5"/>
  <c r="Q11" i="5" s="1"/>
  <c r="L12" i="5"/>
  <c r="Q12" i="5" s="1"/>
  <c r="L14" i="5"/>
  <c r="M14" i="5" s="1"/>
  <c r="L15" i="5"/>
  <c r="Q15" i="5" s="1"/>
  <c r="L16" i="5"/>
  <c r="Q16" i="5" s="1"/>
  <c r="L17" i="5"/>
  <c r="L19" i="5"/>
  <c r="Q19" i="5" s="1"/>
  <c r="L20" i="5"/>
  <c r="Q20" i="5" s="1"/>
  <c r="L22" i="5"/>
  <c r="M22" i="5" s="1"/>
  <c r="L23" i="5"/>
  <c r="Q23" i="5" s="1"/>
  <c r="L24" i="5"/>
  <c r="M24" i="5" s="1"/>
  <c r="L25" i="5"/>
  <c r="L27" i="5"/>
  <c r="Q27" i="5" s="1"/>
  <c r="L29" i="5"/>
  <c r="Q29" i="5" s="1"/>
  <c r="L30" i="5"/>
  <c r="Q30" i="5" s="1"/>
  <c r="L31" i="5"/>
  <c r="Q31" i="5" s="1"/>
  <c r="L32" i="5"/>
  <c r="Q32" i="5" s="1"/>
  <c r="L33" i="5"/>
  <c r="L35" i="5"/>
  <c r="Q35" i="5" s="1"/>
  <c r="L36" i="5"/>
  <c r="L38" i="5"/>
  <c r="Q38" i="5" s="1"/>
  <c r="L39" i="5"/>
  <c r="Q39" i="5" s="1"/>
  <c r="L40" i="5"/>
  <c r="Q40" i="5" s="1"/>
  <c r="L41" i="5"/>
  <c r="Q41" i="5" s="1"/>
  <c r="L43" i="5"/>
  <c r="Q43" i="5" s="1"/>
  <c r="L44" i="5"/>
  <c r="Q44" i="5" s="1"/>
  <c r="L45" i="5"/>
  <c r="M45" i="5" s="1"/>
  <c r="L47" i="5"/>
  <c r="Q47" i="5" s="1"/>
  <c r="L48" i="5"/>
  <c r="M48" i="5" s="1"/>
  <c r="L49" i="5"/>
  <c r="Q49" i="5" s="1"/>
  <c r="L51" i="5"/>
  <c r="Q51" i="5" s="1"/>
  <c r="L52" i="5"/>
  <c r="Q52" i="5" s="1"/>
  <c r="L54" i="5"/>
  <c r="Q54" i="5" s="1"/>
  <c r="L55" i="5"/>
  <c r="Q55" i="5" s="1"/>
  <c r="L56" i="5"/>
  <c r="Q56" i="5" s="1"/>
  <c r="L57" i="5"/>
  <c r="L59" i="5"/>
  <c r="M59" i="5" s="1"/>
  <c r="L60" i="5"/>
  <c r="Q60" i="5" s="1"/>
  <c r="L62" i="5"/>
  <c r="M62" i="5" s="1"/>
  <c r="L63" i="5"/>
  <c r="Q63" i="5" s="1"/>
  <c r="L64" i="5"/>
  <c r="Q64" i="5" s="1"/>
  <c r="L65" i="5"/>
  <c r="L67" i="5"/>
  <c r="Q67" i="5" s="1"/>
  <c r="L70" i="5"/>
  <c r="M70" i="5" s="1"/>
  <c r="L71" i="5"/>
  <c r="Q71" i="5" s="1"/>
  <c r="L72" i="5"/>
  <c r="M72" i="5" s="1"/>
  <c r="L73" i="5"/>
  <c r="L75" i="5"/>
  <c r="Q75" i="5" s="1"/>
  <c r="L76" i="5"/>
  <c r="Q76" i="5" s="1"/>
  <c r="L78" i="5"/>
  <c r="Q78" i="5" s="1"/>
  <c r="L79" i="5"/>
  <c r="Q79" i="5" s="1"/>
  <c r="L80" i="5"/>
  <c r="Q80" i="5" s="1"/>
  <c r="L81" i="5"/>
  <c r="L83" i="5"/>
  <c r="M83" i="5" s="1"/>
  <c r="L86" i="5"/>
  <c r="Q86" i="5" s="1"/>
  <c r="L87" i="5"/>
  <c r="M87" i="5" s="1"/>
  <c r="L88" i="5"/>
  <c r="Q88" i="5" s="1"/>
  <c r="L89" i="5"/>
  <c r="L91" i="5"/>
  <c r="Q91" i="5" s="1"/>
  <c r="L93" i="5"/>
  <c r="Q93" i="5" s="1"/>
  <c r="L94" i="5"/>
  <c r="Q94" i="5" s="1"/>
  <c r="L95" i="5"/>
  <c r="M95" i="5" s="1"/>
  <c r="L96" i="5"/>
  <c r="Q96" i="5" s="1"/>
  <c r="L97" i="5"/>
  <c r="L99" i="5"/>
  <c r="M99" i="5" s="1"/>
  <c r="L102" i="5"/>
  <c r="Q102" i="5" s="1"/>
  <c r="L103" i="5"/>
  <c r="Q103" i="5" s="1"/>
  <c r="L104" i="5"/>
  <c r="Q104" i="5" s="1"/>
  <c r="L105" i="5"/>
  <c r="L107" i="5"/>
  <c r="Q107" i="5" s="1"/>
  <c r="L110" i="5"/>
  <c r="Q110" i="5" s="1"/>
  <c r="L111" i="5"/>
  <c r="M111" i="5" s="1"/>
  <c r="L112" i="5"/>
  <c r="Q112" i="5" s="1"/>
  <c r="L113" i="5"/>
  <c r="L115" i="5"/>
  <c r="Q115" i="5" s="1"/>
  <c r="L118" i="5"/>
  <c r="Q118" i="5" s="1"/>
  <c r="L119" i="5"/>
  <c r="Q119" i="5" s="1"/>
  <c r="L120" i="5"/>
  <c r="Q120" i="5" s="1"/>
  <c r="L123" i="5"/>
  <c r="Q123" i="5" s="1"/>
  <c r="L126" i="5"/>
  <c r="M126" i="5" s="1"/>
  <c r="L127" i="5"/>
  <c r="Q127" i="5" s="1"/>
  <c r="L128" i="5"/>
  <c r="M128" i="5" s="1"/>
  <c r="L129" i="5"/>
  <c r="L131" i="5"/>
  <c r="Q131" i="5" s="1"/>
  <c r="L134" i="5"/>
  <c r="Q134" i="5" s="1"/>
  <c r="L135" i="5"/>
  <c r="Q135" i="5" s="1"/>
  <c r="L136" i="5"/>
  <c r="Q136" i="5" s="1"/>
  <c r="L137" i="5"/>
  <c r="L139" i="5"/>
  <c r="M139" i="5" s="1"/>
  <c r="L142" i="5"/>
  <c r="M142" i="5" s="1"/>
  <c r="L143" i="5"/>
  <c r="Q143" i="5" s="1"/>
  <c r="L144" i="5"/>
  <c r="M144" i="5" s="1"/>
  <c r="L145" i="5"/>
  <c r="L147" i="5"/>
  <c r="Q147" i="5" s="1"/>
  <c r="L149" i="5"/>
  <c r="Q149" i="5" s="1"/>
  <c r="L150" i="5"/>
  <c r="Q150" i="5" s="1"/>
  <c r="L151" i="5"/>
  <c r="Q151" i="5" s="1"/>
  <c r="L152" i="5"/>
  <c r="Q152" i="5" s="1"/>
  <c r="L153" i="5"/>
  <c r="L155" i="5"/>
  <c r="M155" i="5" s="1"/>
  <c r="L158" i="5"/>
  <c r="M158" i="5" s="1"/>
  <c r="L159" i="5"/>
  <c r="Q159" i="5" s="1"/>
  <c r="L160" i="5"/>
  <c r="M160" i="5" s="1"/>
  <c r="L161" i="5"/>
  <c r="L163" i="5"/>
  <c r="N163" i="5" s="1"/>
  <c r="L165" i="5"/>
  <c r="M165" i="5" s="1"/>
  <c r="L166" i="5"/>
  <c r="Q166" i="5" s="1"/>
  <c r="L167" i="5"/>
  <c r="M167" i="5" s="1"/>
  <c r="L168" i="5"/>
  <c r="Q168" i="5" s="1"/>
  <c r="L169" i="5"/>
  <c r="L171" i="5"/>
  <c r="M171" i="5" s="1"/>
  <c r="L173" i="5"/>
  <c r="M173" i="5" s="1"/>
  <c r="L174" i="5"/>
  <c r="Q174" i="5" s="1"/>
  <c r="L175" i="5"/>
  <c r="M175" i="5" s="1"/>
  <c r="L176" i="5"/>
  <c r="M176" i="5" s="1"/>
  <c r="L179" i="5"/>
  <c r="Q179" i="5" s="1"/>
  <c r="L181" i="5"/>
  <c r="M181" i="5" s="1"/>
  <c r="L182" i="5"/>
  <c r="Q182" i="5" s="1"/>
  <c r="L183" i="5"/>
  <c r="M183" i="5" s="1"/>
  <c r="L184" i="5"/>
  <c r="M184" i="5" s="1"/>
  <c r="L185" i="5"/>
  <c r="L187" i="5"/>
  <c r="M187" i="5" s="1"/>
  <c r="L189" i="5"/>
  <c r="M189" i="5" s="1"/>
  <c r="L190" i="5"/>
  <c r="Q190" i="5" s="1"/>
  <c r="L191" i="5"/>
  <c r="M191" i="5" s="1"/>
  <c r="L193" i="5"/>
  <c r="M193" i="5" s="1"/>
  <c r="L195" i="5"/>
  <c r="M195" i="5" s="1"/>
  <c r="L198" i="5"/>
  <c r="M198" i="5" s="1"/>
  <c r="L199" i="5"/>
  <c r="Q199" i="5" s="1"/>
  <c r="L200" i="5"/>
  <c r="M200" i="5" s="1"/>
  <c r="L203" i="5"/>
  <c r="Q203" i="5" s="1"/>
  <c r="L206" i="5"/>
  <c r="M206" i="5" s="1"/>
  <c r="L207" i="5"/>
  <c r="Q207" i="5" s="1"/>
  <c r="L208" i="5"/>
  <c r="M208" i="5" s="1"/>
  <c r="L209" i="5"/>
  <c r="L211" i="5"/>
  <c r="Q211" i="5" s="1"/>
  <c r="L213" i="5"/>
  <c r="M213" i="5" s="1"/>
  <c r="L214" i="5"/>
  <c r="M214" i="5" s="1"/>
  <c r="L215" i="5"/>
  <c r="M215" i="5" s="1"/>
  <c r="L216" i="5"/>
  <c r="M216" i="5" s="1"/>
  <c r="L217" i="5"/>
  <c r="L219" i="5"/>
  <c r="Q219" i="5" s="1"/>
  <c r="L221" i="5"/>
  <c r="M221" i="5" s="1"/>
  <c r="L222" i="5"/>
  <c r="M222" i="5" s="1"/>
  <c r="L224" i="5"/>
  <c r="M224" i="5" s="1"/>
  <c r="L225" i="5"/>
  <c r="Q225" i="5" s="1"/>
  <c r="L227" i="5"/>
  <c r="M227" i="5" s="1"/>
  <c r="L229" i="5"/>
  <c r="M229" i="5" s="1"/>
  <c r="L230" i="5"/>
  <c r="Q230" i="5" s="1"/>
  <c r="L231" i="5"/>
  <c r="M231" i="5" s="1"/>
  <c r="L232" i="5"/>
  <c r="M232" i="5" s="1"/>
  <c r="L233" i="5"/>
  <c r="T16" i="6" a="1"/>
  <c r="T16" i="6" s="1"/>
  <c r="N158" i="5"/>
  <c r="N144" i="5"/>
  <c r="N126" i="5"/>
  <c r="N111" i="5"/>
  <c r="N95" i="5"/>
  <c r="N70" i="5"/>
  <c r="N62" i="5"/>
  <c r="N45" i="5"/>
  <c r="N24" i="5"/>
  <c r="Q129" i="5" l="1"/>
  <c r="Q161" i="5"/>
  <c r="Q97" i="5"/>
  <c r="N72" i="5"/>
  <c r="Q13" i="5"/>
  <c r="N217" i="5"/>
  <c r="M217" i="5"/>
  <c r="Q217" i="5"/>
  <c r="N153" i="5"/>
  <c r="M153" i="5"/>
  <c r="Q153" i="5"/>
  <c r="M188" i="5"/>
  <c r="Q188" i="5"/>
  <c r="M210" i="5"/>
  <c r="Q210" i="5"/>
  <c r="M178" i="5"/>
  <c r="Q178" i="5"/>
  <c r="M138" i="5"/>
  <c r="Q138" i="5"/>
  <c r="M114" i="5"/>
  <c r="Q114" i="5"/>
  <c r="M66" i="5"/>
  <c r="Q66" i="5"/>
  <c r="M42" i="5"/>
  <c r="Q42" i="5"/>
  <c r="M180" i="5"/>
  <c r="Q180" i="5"/>
  <c r="M57" i="5"/>
  <c r="Q57" i="5"/>
  <c r="M228" i="5"/>
  <c r="Q228" i="5"/>
  <c r="M164" i="5"/>
  <c r="Q164" i="5"/>
  <c r="M100" i="5"/>
  <c r="Q100" i="5"/>
  <c r="M185" i="5"/>
  <c r="Q185" i="5"/>
  <c r="M33" i="5"/>
  <c r="N33" i="5"/>
  <c r="Q33" i="5"/>
  <c r="M202" i="5"/>
  <c r="Q202" i="5"/>
  <c r="M170" i="5"/>
  <c r="Q170" i="5"/>
  <c r="M130" i="5"/>
  <c r="Q130" i="5"/>
  <c r="M82" i="5"/>
  <c r="Q82" i="5"/>
  <c r="M18" i="5"/>
  <c r="Q18" i="5"/>
  <c r="Q233" i="5"/>
  <c r="M233" i="5"/>
  <c r="N105" i="5"/>
  <c r="M105" i="5"/>
  <c r="Q105" i="5"/>
  <c r="M65" i="5"/>
  <c r="Q65" i="5"/>
  <c r="M220" i="5"/>
  <c r="Q220" i="5"/>
  <c r="N89" i="5"/>
  <c r="Q89" i="5"/>
  <c r="M89" i="5"/>
  <c r="M98" i="5"/>
  <c r="Q98" i="5"/>
  <c r="M34" i="5"/>
  <c r="Q34" i="5"/>
  <c r="M73" i="5"/>
  <c r="Q73" i="5"/>
  <c r="N17" i="5"/>
  <c r="Q17" i="5"/>
  <c r="M17" i="5"/>
  <c r="M84" i="5"/>
  <c r="Q84" i="5"/>
  <c r="M124" i="5"/>
  <c r="Q124" i="5"/>
  <c r="M218" i="5"/>
  <c r="Q218" i="5"/>
  <c r="M186" i="5"/>
  <c r="Q186" i="5"/>
  <c r="M146" i="5"/>
  <c r="Q146" i="5"/>
  <c r="M106" i="5"/>
  <c r="Q106" i="5"/>
  <c r="M74" i="5"/>
  <c r="Q74" i="5"/>
  <c r="M50" i="5"/>
  <c r="Q50" i="5"/>
  <c r="M116" i="5"/>
  <c r="Q116" i="5"/>
  <c r="Q169" i="5"/>
  <c r="M169" i="5"/>
  <c r="M137" i="5"/>
  <c r="Q137" i="5"/>
  <c r="M209" i="5"/>
  <c r="Q209" i="5"/>
  <c r="N145" i="5"/>
  <c r="M145" i="5"/>
  <c r="Q145" i="5"/>
  <c r="M113" i="5"/>
  <c r="N113" i="5"/>
  <c r="Q113" i="5"/>
  <c r="M81" i="5"/>
  <c r="Q81" i="5"/>
  <c r="M36" i="5"/>
  <c r="Q36" i="5"/>
  <c r="N25" i="5"/>
  <c r="M25" i="5"/>
  <c r="Q25" i="5"/>
  <c r="M58" i="5"/>
  <c r="Q58" i="5"/>
  <c r="M226" i="5"/>
  <c r="Q226" i="5"/>
  <c r="M194" i="5"/>
  <c r="Q194" i="5"/>
  <c r="M154" i="5"/>
  <c r="Q154" i="5"/>
  <c r="M122" i="5"/>
  <c r="Q122" i="5"/>
  <c r="M90" i="5"/>
  <c r="Q90" i="5"/>
  <c r="M26" i="5"/>
  <c r="Q26" i="5"/>
  <c r="M196" i="5"/>
  <c r="Q196" i="5"/>
  <c r="M132" i="5"/>
  <c r="Q132" i="5"/>
  <c r="Q201" i="5"/>
  <c r="Q193" i="5"/>
  <c r="Q177" i="5"/>
  <c r="Q121" i="5"/>
  <c r="M219" i="5"/>
  <c r="Q232" i="5"/>
  <c r="Q224" i="5"/>
  <c r="Q216" i="5"/>
  <c r="Q208" i="5"/>
  <c r="Q200" i="5"/>
  <c r="Q184" i="5"/>
  <c r="Q176" i="5"/>
  <c r="Q160" i="5"/>
  <c r="Q144" i="5"/>
  <c r="Q128" i="5"/>
  <c r="Q72" i="5"/>
  <c r="Q48" i="5"/>
  <c r="Q24" i="5"/>
  <c r="M147" i="5"/>
  <c r="Q231" i="5"/>
  <c r="Q215" i="5"/>
  <c r="Q191" i="5"/>
  <c r="Q183" i="5"/>
  <c r="Q175" i="5"/>
  <c r="Q167" i="5"/>
  <c r="Q111" i="5"/>
  <c r="Q95" i="5"/>
  <c r="Q87" i="5"/>
  <c r="N128" i="5"/>
  <c r="Q222" i="5"/>
  <c r="Q214" i="5"/>
  <c r="Q206" i="5"/>
  <c r="Q198" i="5"/>
  <c r="Q158" i="5"/>
  <c r="Q142" i="5"/>
  <c r="Q126" i="5"/>
  <c r="Q70" i="5"/>
  <c r="Q62" i="5"/>
  <c r="Q22" i="5"/>
  <c r="Q14" i="5"/>
  <c r="Q229" i="5"/>
  <c r="Q221" i="5"/>
  <c r="Q213" i="5"/>
  <c r="Q189" i="5"/>
  <c r="Q181" i="5"/>
  <c r="Q173" i="5"/>
  <c r="Q165" i="5"/>
  <c r="Q45" i="5"/>
  <c r="M121" i="5"/>
  <c r="Q212" i="5"/>
  <c r="Q204" i="5"/>
  <c r="Q156" i="5"/>
  <c r="Q148" i="5"/>
  <c r="Q92" i="5"/>
  <c r="M179" i="5"/>
  <c r="Q227" i="5"/>
  <c r="Q195" i="5"/>
  <c r="Q187" i="5"/>
  <c r="Q171" i="5"/>
  <c r="Q163" i="5"/>
  <c r="Q155" i="5"/>
  <c r="Q139" i="5"/>
  <c r="Q99" i="5"/>
  <c r="Q83" i="5"/>
  <c r="Q59" i="5"/>
  <c r="N60" i="5"/>
  <c r="M12" i="5"/>
  <c r="N152" i="5"/>
  <c r="M152" i="5"/>
  <c r="L69" i="5"/>
  <c r="L140" i="5"/>
  <c r="M225" i="5"/>
  <c r="N119" i="5"/>
  <c r="M119" i="5"/>
  <c r="N40" i="5"/>
  <c r="M40" i="5"/>
  <c r="M68" i="5"/>
  <c r="N68" i="5"/>
  <c r="M20" i="5"/>
  <c r="M86" i="5"/>
  <c r="M67" i="5"/>
  <c r="M39" i="5"/>
  <c r="N39" i="5"/>
  <c r="M30" i="5"/>
  <c r="M211" i="5"/>
  <c r="M78" i="5"/>
  <c r="N78" i="5"/>
  <c r="N41" i="5"/>
  <c r="M41" i="5"/>
  <c r="M151" i="5"/>
  <c r="M11" i="5"/>
  <c r="N11" i="5"/>
  <c r="M44" i="5"/>
  <c r="M118" i="5"/>
  <c r="M149" i="5"/>
  <c r="N75" i="5"/>
  <c r="M75" i="5"/>
  <c r="N56" i="5"/>
  <c r="M56" i="5"/>
  <c r="M47" i="5"/>
  <c r="M38" i="5"/>
  <c r="M29" i="5"/>
  <c r="N29" i="5"/>
  <c r="N19" i="5"/>
  <c r="M19" i="5"/>
  <c r="L108" i="5"/>
  <c r="N88" i="5"/>
  <c r="M88" i="5"/>
  <c r="N51" i="5"/>
  <c r="M51" i="5"/>
  <c r="M161" i="5"/>
  <c r="N97" i="5"/>
  <c r="M97" i="5"/>
  <c r="N49" i="5"/>
  <c r="M49" i="5"/>
  <c r="M190" i="5"/>
  <c r="M168" i="5"/>
  <c r="N136" i="5"/>
  <c r="M136" i="5"/>
  <c r="N115" i="5"/>
  <c r="M115" i="5"/>
  <c r="M104" i="5"/>
  <c r="M94" i="5"/>
  <c r="N64" i="5"/>
  <c r="M64" i="5"/>
  <c r="M55" i="5"/>
  <c r="N27" i="5"/>
  <c r="M27" i="5"/>
  <c r="M203" i="5"/>
  <c r="M131" i="5"/>
  <c r="M174" i="5"/>
  <c r="M120" i="5"/>
  <c r="N142" i="5"/>
  <c r="N129" i="5"/>
  <c r="M129" i="5"/>
  <c r="N31" i="5"/>
  <c r="M31" i="5"/>
  <c r="N87" i="5"/>
  <c r="M182" i="5"/>
  <c r="N59" i="5"/>
  <c r="M199" i="5"/>
  <c r="M135" i="5"/>
  <c r="M103" i="5"/>
  <c r="N103" i="5"/>
  <c r="M93" i="5"/>
  <c r="N93" i="5"/>
  <c r="M63" i="5"/>
  <c r="N63" i="5"/>
  <c r="M54" i="5"/>
  <c r="N54" i="5"/>
  <c r="N16" i="5"/>
  <c r="M16" i="5"/>
  <c r="L172" i="5"/>
  <c r="M163" i="5"/>
  <c r="M110" i="5"/>
  <c r="N32" i="5"/>
  <c r="M32" i="5"/>
  <c r="M150" i="5"/>
  <c r="N150" i="5"/>
  <c r="N107" i="5"/>
  <c r="M107" i="5"/>
  <c r="M159" i="5"/>
  <c r="N99" i="5"/>
  <c r="M230" i="5"/>
  <c r="M166" i="5"/>
  <c r="M134" i="5"/>
  <c r="N134" i="5"/>
  <c r="N123" i="5"/>
  <c r="M123" i="5"/>
  <c r="M112" i="5"/>
  <c r="N112" i="5"/>
  <c r="M102" i="5"/>
  <c r="N91" i="5"/>
  <c r="M91" i="5"/>
  <c r="N80" i="5"/>
  <c r="M80" i="5"/>
  <c r="M71" i="5"/>
  <c r="N71" i="5"/>
  <c r="L53" i="5"/>
  <c r="N35" i="5"/>
  <c r="M35" i="5"/>
  <c r="N15" i="5"/>
  <c r="M15" i="5"/>
  <c r="N148" i="5"/>
  <c r="N84" i="5"/>
  <c r="M76" i="5"/>
  <c r="N76" i="5"/>
  <c r="L28" i="5"/>
  <c r="M96" i="5"/>
  <c r="N96" i="5"/>
  <c r="M127" i="5"/>
  <c r="N127" i="5"/>
  <c r="N48" i="5"/>
  <c r="N160" i="5"/>
  <c r="N22" i="5"/>
  <c r="M207" i="5"/>
  <c r="M143" i="5"/>
  <c r="N79" i="5"/>
  <c r="M79" i="5"/>
  <c r="N43" i="5"/>
  <c r="M43" i="5"/>
  <c r="M23" i="5"/>
  <c r="N23" i="5"/>
  <c r="M52" i="5"/>
  <c r="N52" i="5"/>
  <c r="N132" i="5"/>
  <c r="L192" i="5"/>
  <c r="N156" i="5"/>
  <c r="N124" i="5"/>
  <c r="N92" i="5"/>
  <c r="L205" i="5"/>
  <c r="L157" i="5"/>
  <c r="N157" i="5" s="1"/>
  <c r="L141" i="5"/>
  <c r="L133" i="5"/>
  <c r="L117" i="5"/>
  <c r="L109" i="5"/>
  <c r="N109" i="5" s="1"/>
  <c r="L101" i="5"/>
  <c r="N101" i="5" s="1"/>
  <c r="L77" i="5"/>
  <c r="L61" i="5"/>
  <c r="L37" i="5"/>
  <c r="L21" i="5"/>
  <c r="B1" i="4" s="1"/>
  <c r="Q10" i="5"/>
  <c r="N13" i="5"/>
  <c r="B2" i="4"/>
  <c r="N221" i="5"/>
  <c r="N154" i="5"/>
  <c r="N146" i="5"/>
  <c r="N138" i="5"/>
  <c r="N130" i="5"/>
  <c r="N82" i="5"/>
  <c r="N74" i="5"/>
  <c r="N66" i="5"/>
  <c r="N58" i="5"/>
  <c r="N50" i="5"/>
  <c r="N42" i="5"/>
  <c r="N34" i="5"/>
  <c r="N26" i="5"/>
  <c r="N18" i="5"/>
  <c r="N10" i="5"/>
  <c r="Q16" i="6" a="1"/>
  <c r="Q16" i="6" s="1"/>
  <c r="N155" i="5"/>
  <c r="N55" i="5"/>
  <c r="N190" i="5"/>
  <c r="N73" i="5"/>
  <c r="N168" i="5"/>
  <c r="N100" i="5"/>
  <c r="N175" i="5"/>
  <c r="N200" i="5"/>
  <c r="N216" i="5"/>
  <c r="N139" i="5"/>
  <c r="N30" i="5"/>
  <c r="N193" i="5"/>
  <c r="N212" i="5"/>
  <c r="N167" i="5"/>
  <c r="N198" i="5"/>
  <c r="N204" i="5"/>
  <c r="N159" i="5"/>
  <c r="N184" i="5"/>
  <c r="N209" i="5"/>
  <c r="N182" i="5"/>
  <c r="N207" i="5"/>
  <c r="N38" i="5"/>
  <c r="N110" i="5"/>
  <c r="N174" i="5"/>
  <c r="N191" i="5"/>
  <c r="N176" i="5"/>
  <c r="N47" i="5"/>
  <c r="N166" i="5"/>
  <c r="N183" i="5"/>
  <c r="N208" i="5"/>
  <c r="N86" i="5"/>
  <c r="N106" i="5"/>
  <c r="N151" i="5"/>
  <c r="N214" i="5"/>
  <c r="N116" i="5"/>
  <c r="N14" i="5"/>
  <c r="N135" i="5"/>
  <c r="N143" i="5"/>
  <c r="N149" i="5"/>
  <c r="N195" i="5"/>
  <c r="N199" i="5"/>
  <c r="N202" i="5"/>
  <c r="N206" i="5"/>
  <c r="N201" i="5"/>
  <c r="N122" i="5"/>
  <c r="N222" i="5"/>
  <c r="N12" i="5"/>
  <c r="N20" i="5"/>
  <c r="N28" i="5"/>
  <c r="N36" i="5"/>
  <c r="N44" i="5"/>
  <c r="N83" i="5"/>
  <c r="N94" i="5"/>
  <c r="N104" i="5"/>
  <c r="N120" i="5"/>
  <c r="N137" i="5"/>
  <c r="N220" i="5"/>
  <c r="N57" i="5"/>
  <c r="N67" i="5"/>
  <c r="N102" i="5"/>
  <c r="N118" i="5"/>
  <c r="N171" i="5"/>
  <c r="N179" i="5"/>
  <c r="N187" i="5"/>
  <c r="N215" i="5"/>
  <c r="N169" i="5"/>
  <c r="N177" i="5"/>
  <c r="N185" i="5"/>
  <c r="N219" i="5"/>
  <c r="N65" i="5"/>
  <c r="N81" i="5"/>
  <c r="N98" i="5"/>
  <c r="N114" i="5"/>
  <c r="N131" i="5"/>
  <c r="N147" i="5"/>
  <c r="N164" i="5"/>
  <c r="N213" i="5"/>
  <c r="N161" i="5"/>
  <c r="N172" i="5"/>
  <c r="N180" i="5"/>
  <c r="N188" i="5"/>
  <c r="N196" i="5"/>
  <c r="N165" i="5"/>
  <c r="N170" i="5"/>
  <c r="N173" i="5"/>
  <c r="N178" i="5"/>
  <c r="N181" i="5"/>
  <c r="N186" i="5"/>
  <c r="N189" i="5"/>
  <c r="N194" i="5"/>
  <c r="N203" i="5"/>
  <c r="N211" i="5"/>
  <c r="M109" i="5" l="1"/>
  <c r="Q109" i="5"/>
  <c r="M28" i="5"/>
  <c r="Q28" i="5"/>
  <c r="M61" i="5"/>
  <c r="Q61" i="5"/>
  <c r="M140" i="5"/>
  <c r="Q140" i="5"/>
  <c r="M117" i="5"/>
  <c r="Q117" i="5"/>
  <c r="M53" i="5"/>
  <c r="Q53" i="5"/>
  <c r="M133" i="5"/>
  <c r="Q133" i="5"/>
  <c r="M108" i="5"/>
  <c r="Q108" i="5"/>
  <c r="M205" i="5"/>
  <c r="Q205" i="5"/>
  <c r="M77" i="5"/>
  <c r="Q77" i="5"/>
  <c r="M69" i="5"/>
  <c r="Q69" i="5"/>
  <c r="M101" i="5"/>
  <c r="Q101" i="5"/>
  <c r="M21" i="5"/>
  <c r="Q21" i="5"/>
  <c r="A16" i="6" s="1" a="1"/>
  <c r="A16" i="6" s="1"/>
  <c r="M141" i="5"/>
  <c r="Q141" i="5"/>
  <c r="N117" i="5"/>
  <c r="M172" i="5"/>
  <c r="Q172" i="5"/>
  <c r="N205" i="5"/>
  <c r="N53" i="5"/>
  <c r="M37" i="5"/>
  <c r="Q37" i="5"/>
  <c r="M157" i="5"/>
  <c r="Q157" i="5"/>
  <c r="M192" i="5"/>
  <c r="Q192" i="5"/>
  <c r="N37" i="5"/>
  <c r="N192" i="5"/>
  <c r="N21" i="5"/>
  <c r="N77" i="5"/>
  <c r="N133" i="5"/>
  <c r="N69" i="5"/>
  <c r="N141" i="5"/>
  <c r="N108" i="5"/>
  <c r="N61" i="5"/>
  <c r="N140" i="5"/>
  <c r="N90" i="5"/>
  <c r="N218" i="5"/>
  <c r="N210" i="5"/>
  <c r="B4" i="4"/>
  <c r="B5" i="4"/>
  <c r="B7" i="4" l="1"/>
  <c r="B8" i="4"/>
  <c r="B6" i="4"/>
  <c r="B3" i="4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H230" i="1"/>
  <c r="H231" i="1"/>
  <c r="H232" i="1"/>
  <c r="H233" i="1"/>
  <c r="H234" i="1"/>
  <c r="H235" i="1"/>
  <c r="H236" i="1"/>
  <c r="H237" i="1"/>
  <c r="H238" i="1"/>
  <c r="H229" i="1"/>
  <c r="K202" i="1"/>
  <c r="M202" i="1" s="1"/>
  <c r="K203" i="1"/>
  <c r="L203" i="1" s="1"/>
  <c r="K204" i="1"/>
  <c r="L204" i="1" s="1"/>
  <c r="K205" i="1"/>
  <c r="L205" i="1" s="1"/>
  <c r="K206" i="1"/>
  <c r="M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M214" i="1" s="1"/>
  <c r="K215" i="1"/>
  <c r="L215" i="1" s="1"/>
  <c r="K216" i="1"/>
  <c r="L216" i="1" s="1"/>
  <c r="K217" i="1"/>
  <c r="L217" i="1" s="1"/>
  <c r="K218" i="1"/>
  <c r="L218" i="1" s="1"/>
  <c r="K219" i="1"/>
  <c r="M219" i="1" s="1"/>
  <c r="K220" i="1"/>
  <c r="L220" i="1" s="1"/>
  <c r="K221" i="1"/>
  <c r="L221" i="1" s="1"/>
  <c r="K222" i="1"/>
  <c r="M222" i="1" s="1"/>
  <c r="K223" i="1"/>
  <c r="M223" i="1" s="1"/>
  <c r="K224" i="1"/>
  <c r="M224" i="1" s="1"/>
  <c r="K225" i="1"/>
  <c r="L225" i="1" s="1"/>
  <c r="K201" i="1"/>
  <c r="L201" i="1" s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01" i="1"/>
  <c r="K165" i="1"/>
  <c r="M165" i="1" s="1"/>
  <c r="K166" i="1"/>
  <c r="M166" i="1" s="1"/>
  <c r="K167" i="1"/>
  <c r="M167" i="1" s="1"/>
  <c r="K168" i="1"/>
  <c r="M168" i="1" s="1"/>
  <c r="K169" i="1"/>
  <c r="L169" i="1" s="1"/>
  <c r="K170" i="1"/>
  <c r="M170" i="1" s="1"/>
  <c r="K171" i="1"/>
  <c r="M171" i="1" s="1"/>
  <c r="K172" i="1"/>
  <c r="M172" i="1" s="1"/>
  <c r="K173" i="1"/>
  <c r="M173" i="1" s="1"/>
  <c r="K174" i="1"/>
  <c r="M174" i="1" s="1"/>
  <c r="K175" i="1"/>
  <c r="M175" i="1" s="1"/>
  <c r="K176" i="1"/>
  <c r="M176" i="1" s="1"/>
  <c r="K177" i="1"/>
  <c r="M177" i="1" s="1"/>
  <c r="K178" i="1"/>
  <c r="L178" i="1" s="1"/>
  <c r="K179" i="1"/>
  <c r="L179" i="1" s="1"/>
  <c r="K180" i="1"/>
  <c r="M180" i="1" s="1"/>
  <c r="K181" i="1"/>
  <c r="L181" i="1" s="1"/>
  <c r="K182" i="1"/>
  <c r="L182" i="1" s="1"/>
  <c r="K183" i="1"/>
  <c r="L183" i="1" s="1"/>
  <c r="K184" i="1"/>
  <c r="L184" i="1" s="1"/>
  <c r="K185" i="1"/>
  <c r="M185" i="1" s="1"/>
  <c r="K186" i="1"/>
  <c r="L186" i="1" s="1"/>
  <c r="K187" i="1"/>
  <c r="M187" i="1" s="1"/>
  <c r="K188" i="1"/>
  <c r="M188" i="1" s="1"/>
  <c r="K189" i="1"/>
  <c r="L189" i="1" s="1"/>
  <c r="K190" i="1"/>
  <c r="L190" i="1" s="1"/>
  <c r="K191" i="1"/>
  <c r="L191" i="1" s="1"/>
  <c r="K192" i="1"/>
  <c r="M192" i="1" s="1"/>
  <c r="K193" i="1"/>
  <c r="M193" i="1" s="1"/>
  <c r="K194" i="1"/>
  <c r="L194" i="1" s="1"/>
  <c r="K195" i="1"/>
  <c r="M195" i="1" s="1"/>
  <c r="K196" i="1"/>
  <c r="M196" i="1" s="1"/>
  <c r="K197" i="1"/>
  <c r="L197" i="1" s="1"/>
  <c r="K164" i="1"/>
  <c r="L164" i="1" s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64" i="1"/>
  <c r="K126" i="1"/>
  <c r="M126" i="1" s="1"/>
  <c r="K127" i="1"/>
  <c r="L127" i="1" s="1"/>
  <c r="K128" i="1"/>
  <c r="L128" i="1" s="1"/>
  <c r="K129" i="1"/>
  <c r="L129" i="1" s="1"/>
  <c r="K130" i="1"/>
  <c r="M130" i="1" s="1"/>
  <c r="K131" i="1"/>
  <c r="M131" i="1" s="1"/>
  <c r="K132" i="1"/>
  <c r="M132" i="1" s="1"/>
  <c r="K133" i="1"/>
  <c r="M133" i="1" s="1"/>
  <c r="K134" i="1"/>
  <c r="M134" i="1" s="1"/>
  <c r="K135" i="1"/>
  <c r="L135" i="1" s="1"/>
  <c r="K136" i="1"/>
  <c r="L136" i="1" s="1"/>
  <c r="K137" i="1"/>
  <c r="L137" i="1" s="1"/>
  <c r="K138" i="1"/>
  <c r="M138" i="1" s="1"/>
  <c r="K139" i="1"/>
  <c r="M139" i="1" s="1"/>
  <c r="K140" i="1"/>
  <c r="M140" i="1" s="1"/>
  <c r="K141" i="1"/>
  <c r="M141" i="1" s="1"/>
  <c r="K142" i="1"/>
  <c r="M142" i="1" s="1"/>
  <c r="K143" i="1"/>
  <c r="L143" i="1" s="1"/>
  <c r="K144" i="1"/>
  <c r="L144" i="1" s="1"/>
  <c r="K145" i="1"/>
  <c r="L145" i="1" s="1"/>
  <c r="K146" i="1"/>
  <c r="M146" i="1" s="1"/>
  <c r="K147" i="1"/>
  <c r="M147" i="1" s="1"/>
  <c r="K148" i="1"/>
  <c r="M148" i="1" s="1"/>
  <c r="K149" i="1"/>
  <c r="M149" i="1" s="1"/>
  <c r="K150" i="1"/>
  <c r="M150" i="1" s="1"/>
  <c r="K151" i="1"/>
  <c r="L151" i="1" s="1"/>
  <c r="K152" i="1"/>
  <c r="L152" i="1" s="1"/>
  <c r="K153" i="1"/>
  <c r="L153" i="1" s="1"/>
  <c r="K154" i="1"/>
  <c r="M154" i="1" s="1"/>
  <c r="K155" i="1"/>
  <c r="M155" i="1" s="1"/>
  <c r="K156" i="1"/>
  <c r="M156" i="1" s="1"/>
  <c r="K157" i="1"/>
  <c r="M157" i="1" s="1"/>
  <c r="K158" i="1"/>
  <c r="M158" i="1" s="1"/>
  <c r="K159" i="1"/>
  <c r="L159" i="1" s="1"/>
  <c r="K160" i="1"/>
  <c r="L160" i="1" s="1"/>
  <c r="K125" i="1"/>
  <c r="L125" i="1" s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25" i="1"/>
  <c r="K84" i="1"/>
  <c r="M84" i="1" s="1"/>
  <c r="K85" i="1"/>
  <c r="L85" i="1" s="1"/>
  <c r="K86" i="1"/>
  <c r="L86" i="1" s="1"/>
  <c r="K87" i="1"/>
  <c r="L87" i="1" s="1"/>
  <c r="K88" i="1"/>
  <c r="M88" i="1" s="1"/>
  <c r="K89" i="1"/>
  <c r="L89" i="1" s="1"/>
  <c r="K90" i="1"/>
  <c r="L90" i="1" s="1"/>
  <c r="K91" i="1"/>
  <c r="L91" i="1" s="1"/>
  <c r="K92" i="1"/>
  <c r="M92" i="1" s="1"/>
  <c r="K93" i="1"/>
  <c r="L93" i="1" s="1"/>
  <c r="K94" i="1"/>
  <c r="L94" i="1" s="1"/>
  <c r="K95" i="1"/>
  <c r="L95" i="1" s="1"/>
  <c r="K96" i="1"/>
  <c r="M96" i="1" s="1"/>
  <c r="K97" i="1"/>
  <c r="L97" i="1" s="1"/>
  <c r="K98" i="1"/>
  <c r="M98" i="1" s="1"/>
  <c r="K99" i="1"/>
  <c r="M99" i="1" s="1"/>
  <c r="K100" i="1"/>
  <c r="M100" i="1" s="1"/>
  <c r="K101" i="1"/>
  <c r="L101" i="1" s="1"/>
  <c r="K102" i="1"/>
  <c r="L102" i="1" s="1"/>
  <c r="K103" i="1"/>
  <c r="L103" i="1" s="1"/>
  <c r="K104" i="1"/>
  <c r="M104" i="1" s="1"/>
  <c r="K105" i="1"/>
  <c r="L105" i="1" s="1"/>
  <c r="K106" i="1"/>
  <c r="M106" i="1" s="1"/>
  <c r="K107" i="1"/>
  <c r="M107" i="1" s="1"/>
  <c r="K108" i="1"/>
  <c r="M108" i="1" s="1"/>
  <c r="K109" i="1"/>
  <c r="L109" i="1" s="1"/>
  <c r="K110" i="1"/>
  <c r="L110" i="1" s="1"/>
  <c r="K111" i="1"/>
  <c r="L111" i="1" s="1"/>
  <c r="K112" i="1"/>
  <c r="M112" i="1" s="1"/>
  <c r="K113" i="1"/>
  <c r="L113" i="1" s="1"/>
  <c r="K114" i="1"/>
  <c r="L114" i="1" s="1"/>
  <c r="K115" i="1"/>
  <c r="L115" i="1" s="1"/>
  <c r="K116" i="1"/>
  <c r="M116" i="1" s="1"/>
  <c r="K117" i="1"/>
  <c r="L117" i="1" s="1"/>
  <c r="K118" i="1"/>
  <c r="L118" i="1" s="1"/>
  <c r="K119" i="1"/>
  <c r="L119" i="1" s="1"/>
  <c r="K120" i="1"/>
  <c r="M120" i="1" s="1"/>
  <c r="K121" i="1"/>
  <c r="L121" i="1" s="1"/>
  <c r="K83" i="1"/>
  <c r="M83" i="1" s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83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42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" i="1"/>
  <c r="K42" i="1"/>
  <c r="L42" i="1" s="1"/>
  <c r="K43" i="1"/>
  <c r="L43" i="1" s="1"/>
  <c r="K44" i="1"/>
  <c r="L44" i="1" s="1"/>
  <c r="K45" i="1"/>
  <c r="L45" i="1" s="1"/>
  <c r="K46" i="1"/>
  <c r="M46" i="1" s="1"/>
  <c r="K47" i="1"/>
  <c r="M47" i="1" s="1"/>
  <c r="K48" i="1"/>
  <c r="M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M54" i="1" s="1"/>
  <c r="K55" i="1"/>
  <c r="M55" i="1" s="1"/>
  <c r="K56" i="1"/>
  <c r="M56" i="1" s="1"/>
  <c r="K57" i="1"/>
  <c r="M57" i="1" s="1"/>
  <c r="K58" i="1"/>
  <c r="L58" i="1" s="1"/>
  <c r="K59" i="1"/>
  <c r="L59" i="1" s="1"/>
  <c r="K60" i="1"/>
  <c r="M60" i="1" s="1"/>
  <c r="K61" i="1"/>
  <c r="L61" i="1" s="1"/>
  <c r="K62" i="1"/>
  <c r="L62" i="1" s="1"/>
  <c r="K63" i="1"/>
  <c r="M63" i="1" s="1"/>
  <c r="K64" i="1"/>
  <c r="L64" i="1" s="1"/>
  <c r="K65" i="1"/>
  <c r="M65" i="1" s="1"/>
  <c r="K66" i="1"/>
  <c r="L66" i="1" s="1"/>
  <c r="K67" i="1"/>
  <c r="L67" i="1" s="1"/>
  <c r="K68" i="1"/>
  <c r="M68" i="1" s="1"/>
  <c r="K69" i="1"/>
  <c r="L69" i="1" s="1"/>
  <c r="K70" i="1"/>
  <c r="L70" i="1" s="1"/>
  <c r="K71" i="1"/>
  <c r="M71" i="1" s="1"/>
  <c r="K72" i="1"/>
  <c r="M72" i="1" s="1"/>
  <c r="K73" i="1"/>
  <c r="M73" i="1" s="1"/>
  <c r="K74" i="1"/>
  <c r="L74" i="1" s="1"/>
  <c r="K75" i="1"/>
  <c r="L75" i="1" s="1"/>
  <c r="K76" i="1"/>
  <c r="M76" i="1" s="1"/>
  <c r="K77" i="1"/>
  <c r="L77" i="1" s="1"/>
  <c r="K78" i="1"/>
  <c r="L78" i="1" s="1"/>
  <c r="K79" i="1"/>
  <c r="M79" i="1" s="1"/>
  <c r="K38" i="1"/>
  <c r="L38" i="1" s="1"/>
  <c r="K37" i="1"/>
  <c r="K36" i="1"/>
  <c r="L36" i="1" s="1"/>
  <c r="K35" i="1"/>
  <c r="M35" i="1" s="1"/>
  <c r="K34" i="1"/>
  <c r="M34" i="1" s="1"/>
  <c r="K33" i="1"/>
  <c r="L33" i="1" s="1"/>
  <c r="K32" i="1"/>
  <c r="M32" i="1" s="1"/>
  <c r="K31" i="1"/>
  <c r="L31" i="1" s="1"/>
  <c r="K30" i="1"/>
  <c r="L30" i="1" s="1"/>
  <c r="K29" i="1"/>
  <c r="L29" i="1" s="1"/>
  <c r="K28" i="1"/>
  <c r="M28" i="1" s="1"/>
  <c r="K27" i="1"/>
  <c r="M27" i="1" s="1"/>
  <c r="K26" i="1"/>
  <c r="M26" i="1" s="1"/>
  <c r="K25" i="1"/>
  <c r="M25" i="1" s="1"/>
  <c r="K24" i="1"/>
  <c r="L24" i="1" s="1"/>
  <c r="K23" i="1"/>
  <c r="M23" i="1" s="1"/>
  <c r="K22" i="1"/>
  <c r="M22" i="1" s="1"/>
  <c r="K21" i="1"/>
  <c r="L21" i="1" s="1"/>
  <c r="K20" i="1"/>
  <c r="M20" i="1" s="1"/>
  <c r="K19" i="1"/>
  <c r="M19" i="1" s="1"/>
  <c r="K18" i="1"/>
  <c r="M18" i="1" s="1"/>
  <c r="K17" i="1"/>
  <c r="M17" i="1" s="1"/>
  <c r="K16" i="1"/>
  <c r="M16" i="1" s="1"/>
  <c r="K15" i="1"/>
  <c r="M15" i="1" s="1"/>
  <c r="K14" i="1"/>
  <c r="M14" i="1" s="1"/>
  <c r="K13" i="1"/>
  <c r="M13" i="1" s="1"/>
  <c r="K12" i="1"/>
  <c r="M12" i="1" s="1"/>
  <c r="K11" i="1"/>
  <c r="L11" i="1" s="1"/>
  <c r="K10" i="1"/>
  <c r="M10" i="1" s="1"/>
  <c r="K9" i="1"/>
  <c r="L9" i="1" s="1"/>
  <c r="K8" i="1"/>
  <c r="M8" i="1" s="1"/>
  <c r="K7" i="1"/>
  <c r="L7" i="1" s="1"/>
  <c r="K6" i="1"/>
  <c r="M6" i="1" s="1"/>
  <c r="K5" i="1"/>
  <c r="L5" i="1" s="1"/>
  <c r="K4" i="1"/>
  <c r="L4" i="1" s="1"/>
  <c r="K3" i="1"/>
  <c r="M3" i="1" s="1"/>
  <c r="M37" i="1" l="1"/>
  <c r="M50" i="1"/>
  <c r="M21" i="1"/>
  <c r="L73" i="1"/>
  <c r="L71" i="1"/>
  <c r="M49" i="1"/>
  <c r="M217" i="1"/>
  <c r="L68" i="1"/>
  <c r="M212" i="1"/>
  <c r="L47" i="1"/>
  <c r="M209" i="1"/>
  <c r="L26" i="1"/>
  <c r="L54" i="1"/>
  <c r="L18" i="1"/>
  <c r="L10" i="1"/>
  <c r="M61" i="1"/>
  <c r="L177" i="1"/>
  <c r="L139" i="1"/>
  <c r="L168" i="1"/>
  <c r="M213" i="1"/>
  <c r="L79" i="1"/>
  <c r="L116" i="1"/>
  <c r="M191" i="1"/>
  <c r="L98" i="1"/>
  <c r="M184" i="1"/>
  <c r="M211" i="1"/>
  <c r="L92" i="1"/>
  <c r="M114" i="1"/>
  <c r="M205" i="1"/>
  <c r="L224" i="1"/>
  <c r="M204" i="1"/>
  <c r="L155" i="1"/>
  <c r="L223" i="1"/>
  <c r="M203" i="1"/>
  <c r="L60" i="1"/>
  <c r="L222" i="1"/>
  <c r="M221" i="1"/>
  <c r="L214" i="1"/>
  <c r="M52" i="1"/>
  <c r="L37" i="1"/>
  <c r="L88" i="1"/>
  <c r="L187" i="1"/>
  <c r="M179" i="1"/>
  <c r="M220" i="1"/>
  <c r="L206" i="1"/>
  <c r="L84" i="1"/>
  <c r="M218" i="1"/>
  <c r="M210" i="1"/>
  <c r="M201" i="1"/>
  <c r="L76" i="1"/>
  <c r="M44" i="1"/>
  <c r="L176" i="1"/>
  <c r="M225" i="1"/>
  <c r="M216" i="1"/>
  <c r="M208" i="1"/>
  <c r="L72" i="1"/>
  <c r="M64" i="1"/>
  <c r="L108" i="1"/>
  <c r="M91" i="1"/>
  <c r="L170" i="1"/>
  <c r="M215" i="1"/>
  <c r="M207" i="1"/>
  <c r="L100" i="1"/>
  <c r="L219" i="1"/>
  <c r="L202" i="1"/>
  <c r="M119" i="1"/>
  <c r="L132" i="1"/>
  <c r="M9" i="1"/>
  <c r="L112" i="1"/>
  <c r="L96" i="1"/>
  <c r="M115" i="1"/>
  <c r="M95" i="1"/>
  <c r="L154" i="1"/>
  <c r="L131" i="1"/>
  <c r="L165" i="1"/>
  <c r="M183" i="1"/>
  <c r="M77" i="1"/>
  <c r="L107" i="1"/>
  <c r="M111" i="1"/>
  <c r="M90" i="1"/>
  <c r="L147" i="1"/>
  <c r="L195" i="1"/>
  <c r="L130" i="1"/>
  <c r="L35" i="1"/>
  <c r="M33" i="1"/>
  <c r="M70" i="1"/>
  <c r="L83" i="1"/>
  <c r="L106" i="1"/>
  <c r="M87" i="1"/>
  <c r="L146" i="1"/>
  <c r="L193" i="1"/>
  <c r="L173" i="1"/>
  <c r="L25" i="1"/>
  <c r="L120" i="1"/>
  <c r="L104" i="1"/>
  <c r="L140" i="1"/>
  <c r="L192" i="1"/>
  <c r="L172" i="1"/>
  <c r="L148" i="1"/>
  <c r="M103" i="1"/>
  <c r="M169" i="1"/>
  <c r="L99" i="1"/>
  <c r="L156" i="1"/>
  <c r="L138" i="1"/>
  <c r="L185" i="1"/>
  <c r="M151" i="1"/>
  <c r="M135" i="1"/>
  <c r="L13" i="1"/>
  <c r="L28" i="1"/>
  <c r="M29" i="1"/>
  <c r="L65" i="1"/>
  <c r="M53" i="1"/>
  <c r="M118" i="1"/>
  <c r="M110" i="1"/>
  <c r="M102" i="1"/>
  <c r="M94" i="1"/>
  <c r="M86" i="1"/>
  <c r="L158" i="1"/>
  <c r="L150" i="1"/>
  <c r="L142" i="1"/>
  <c r="L134" i="1"/>
  <c r="L126" i="1"/>
  <c r="L196" i="1"/>
  <c r="L188" i="1"/>
  <c r="L180" i="1"/>
  <c r="M159" i="1"/>
  <c r="M143" i="1"/>
  <c r="L8" i="1"/>
  <c r="L48" i="1"/>
  <c r="M69" i="1"/>
  <c r="M117" i="1"/>
  <c r="M109" i="1"/>
  <c r="M101" i="1"/>
  <c r="M93" i="1"/>
  <c r="M85" i="1"/>
  <c r="L157" i="1"/>
  <c r="L149" i="1"/>
  <c r="L141" i="1"/>
  <c r="L133" i="1"/>
  <c r="M125" i="1"/>
  <c r="M153" i="1"/>
  <c r="M145" i="1"/>
  <c r="M137" i="1"/>
  <c r="M129" i="1"/>
  <c r="L171" i="1"/>
  <c r="M194" i="1"/>
  <c r="M186" i="1"/>
  <c r="M178" i="1"/>
  <c r="M127" i="1"/>
  <c r="M160" i="1"/>
  <c r="M152" i="1"/>
  <c r="M144" i="1"/>
  <c r="M136" i="1"/>
  <c r="M128" i="1"/>
  <c r="L34" i="1"/>
  <c r="M121" i="1"/>
  <c r="M113" i="1"/>
  <c r="M105" i="1"/>
  <c r="M97" i="1"/>
  <c r="M89" i="1"/>
  <c r="L175" i="1"/>
  <c r="L167" i="1"/>
  <c r="M164" i="1"/>
  <c r="M190" i="1"/>
  <c r="M182" i="1"/>
  <c r="L57" i="1"/>
  <c r="L17" i="1"/>
  <c r="L16" i="1"/>
  <c r="L174" i="1"/>
  <c r="L166" i="1"/>
  <c r="M197" i="1"/>
  <c r="M189" i="1"/>
  <c r="M181" i="1"/>
  <c r="L56" i="1"/>
  <c r="L46" i="1"/>
  <c r="L55" i="1"/>
  <c r="M62" i="1"/>
  <c r="L63" i="1"/>
  <c r="M36" i="1"/>
  <c r="L3" i="1"/>
  <c r="L27" i="1"/>
  <c r="M24" i="1"/>
  <c r="L19" i="1"/>
  <c r="L32" i="1"/>
  <c r="M78" i="1"/>
  <c r="M11" i="1"/>
  <c r="M45" i="1"/>
  <c r="M75" i="1"/>
  <c r="M67" i="1"/>
  <c r="M59" i="1"/>
  <c r="M51" i="1"/>
  <c r="M43" i="1"/>
  <c r="M58" i="1"/>
  <c r="M74" i="1"/>
  <c r="M66" i="1"/>
  <c r="M42" i="1"/>
  <c r="L23" i="1"/>
  <c r="L15" i="1"/>
  <c r="L6" i="1"/>
  <c r="M31" i="1"/>
  <c r="L22" i="1"/>
  <c r="L14" i="1"/>
  <c r="M38" i="1"/>
  <c r="M30" i="1"/>
  <c r="M4" i="1"/>
  <c r="L20" i="1"/>
  <c r="L12" i="1"/>
  <c r="M7" i="1"/>
  <c r="M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<sst xmlns="http://schemas.openxmlformats.org/spreadsheetml/2006/main" count="1755" uniqueCount="287">
  <si>
    <t>Components</t>
  </si>
  <si>
    <t>S.No.</t>
  </si>
  <si>
    <t>Morgan Part No./ Drawing No.</t>
  </si>
  <si>
    <t>Material Code</t>
  </si>
  <si>
    <t>Qty / Assembly</t>
  </si>
  <si>
    <t>Total</t>
  </si>
  <si>
    <t>Guide Box RE-45 AS ( without accessories)</t>
  </si>
  <si>
    <t>Roller Holder RE-45 AS/2 Assembly</t>
  </si>
  <si>
    <t>Roll shaft</t>
  </si>
  <si>
    <t>M435231A</t>
  </si>
  <si>
    <t xml:space="preserve">Pivot Pin </t>
  </si>
  <si>
    <t>Adjusting screw RH (to move the roller holder)</t>
  </si>
  <si>
    <t>Adjusting screw LH (to move the roller holder)</t>
  </si>
  <si>
    <t>Cover ( for spring assembly)</t>
  </si>
  <si>
    <t>M432822A</t>
  </si>
  <si>
    <t>Button ( in front of Adjusting screw)</t>
  </si>
  <si>
    <t>Set screw M 24 X 3 X15 ( to move the roller holder UP/DOWN)</t>
  </si>
  <si>
    <t>M432814A</t>
  </si>
  <si>
    <t>Thrust Plate ( below the pivot pin)</t>
  </si>
  <si>
    <t>M432816A</t>
  </si>
  <si>
    <t>Roller shaft spacer(in between the bearing and housing)</t>
  </si>
  <si>
    <t>M432819A</t>
  </si>
  <si>
    <t>Spacer ( to tighten the nut of roll shaft)</t>
  </si>
  <si>
    <t>M432820AA</t>
  </si>
  <si>
    <t>Tapered roller bearing 32004X</t>
  </si>
  <si>
    <t>M432805B</t>
  </si>
  <si>
    <t>DIE DIECO Spring( for roller holder) (Same as RE-115 &amp; RE-45)</t>
  </si>
  <si>
    <t>M432813D</t>
  </si>
  <si>
    <t xml:space="preserve">spring </t>
  </si>
  <si>
    <t>GRP 012/65 R</t>
  </si>
  <si>
    <t>Eye bolt with shoulder M 16</t>
  </si>
  <si>
    <t>M4157168</t>
  </si>
  <si>
    <t>Socket head cap screw  M 6 x 25 full thread (spring cover)</t>
  </si>
  <si>
    <t>Socket set cup screw M16 X 25 (to tighten the insert)</t>
  </si>
  <si>
    <t>Hex Nylock nut M 16 X 2 ( for roll shaft)</t>
  </si>
  <si>
    <t>M437076B</t>
  </si>
  <si>
    <t>Assy.Adapter Plate (RE 45 FSA-2)</t>
  </si>
  <si>
    <t>Rollers (for stand 13)</t>
  </si>
  <si>
    <t>10087242AT</t>
  </si>
  <si>
    <t>Rollers (for stand 15)</t>
  </si>
  <si>
    <t>10087242AU</t>
  </si>
  <si>
    <t>Insert ( for stand 13) 5.5 mm   [ 54.1 x 20.4 ]</t>
  </si>
  <si>
    <t>10316553AC</t>
  </si>
  <si>
    <t>Insert ( for stand 13) 8 mm     [ 54.5 x 23 ]</t>
  </si>
  <si>
    <t>10316553Z</t>
  </si>
  <si>
    <t>Insert ( for stand 15) 5.5 mm   [ 41.6 x 16 ]</t>
  </si>
  <si>
    <t>10316553AA</t>
  </si>
  <si>
    <t>Insert ( for stand 15) 8 mm      [ 45.4 x 19.8 ]</t>
  </si>
  <si>
    <t>10316553AB</t>
  </si>
  <si>
    <t>Insert ( for stand 15) 5.5 mm  modified [ 39.2 x 16 ]</t>
  </si>
  <si>
    <t>10316553 U</t>
  </si>
  <si>
    <t>Guide Box RE-45 ASR 2 ( complete assembly)</t>
  </si>
  <si>
    <t>Rollers (for stand 13)  MHI</t>
  </si>
  <si>
    <t>IT-5,GRP 012/54 R</t>
  </si>
  <si>
    <t>IT-7,GRP 012/54 R</t>
  </si>
  <si>
    <t>Insert ( for stand 13)</t>
  </si>
  <si>
    <t>IT-1,GRP 012/59 R</t>
  </si>
  <si>
    <t>Insert ( for stand 15)</t>
  </si>
  <si>
    <t>IT-1,GRP 012/60 R</t>
  </si>
  <si>
    <t>Roll shaft / Pin for std.13 &amp; 15</t>
  </si>
  <si>
    <t>IT-3,GRP 012/94R</t>
  </si>
  <si>
    <t>Quantity received in mill</t>
  </si>
  <si>
    <t>Quantity Remaining</t>
  </si>
  <si>
    <t>Seal 0os Ring</t>
  </si>
  <si>
    <t>Total Stock Cost ( in Rs )</t>
  </si>
  <si>
    <t>Total Stock Cost( in Rs )</t>
  </si>
  <si>
    <t>Approx Unit Rate               ( in Rs )</t>
  </si>
  <si>
    <t>Address</t>
  </si>
  <si>
    <t>Percentage Remaining</t>
  </si>
  <si>
    <t>-</t>
  </si>
  <si>
    <t>RE 45</t>
  </si>
  <si>
    <t>RTD 70</t>
  </si>
  <si>
    <t>Lower Guide Body</t>
  </si>
  <si>
    <t>Upper Guide body</t>
  </si>
  <si>
    <t>Roller shaft</t>
  </si>
  <si>
    <t>Indexing Lock</t>
  </si>
  <si>
    <t>Hinge pin ( for upper guide body)</t>
  </si>
  <si>
    <t>Locking Bar ( Lock plate for Hinge pin)</t>
  </si>
  <si>
    <t>Swing Bolt Pivot Pin</t>
  </si>
  <si>
    <t>Wear Pad</t>
  </si>
  <si>
    <t>Hex Nut M24 X 3 ( for twist adjustment )</t>
  </si>
  <si>
    <t>Swing bolt  ( M 24 X 3 X 210Long)</t>
  </si>
  <si>
    <t>water Header</t>
  </si>
  <si>
    <t>Taper Roller bearing 33208</t>
  </si>
  <si>
    <t xml:space="preserve">Flanged Bushing ( OD- 40 X ID - 30) </t>
  </si>
  <si>
    <t>Disc spring</t>
  </si>
  <si>
    <t>Spherical washer ( for twist adjustment )</t>
  </si>
  <si>
    <t>Pipe Flush plug(PTF) Type 1/8"</t>
  </si>
  <si>
    <t>PIpe Flush plug(PTF) Flush Type 3/8"</t>
  </si>
  <si>
    <t>Elbow, STR SCR  MI 3/4 X 90 DEG 150#</t>
  </si>
  <si>
    <t>Barbed fitting ( KF 12-12PS) for water line</t>
  </si>
  <si>
    <t>Hose 3/4" ID ,single braid</t>
  </si>
  <si>
    <t>Pipe Plug (CSK  3/4 NPT)</t>
  </si>
  <si>
    <t>DU Bearing ( 23 OD X 20 ID X 20LG) for swing bolt pivot pin</t>
  </si>
  <si>
    <t>Hex Head cap screw  M8 X 20 Full thread( Lock plate for hinge pin upper body)</t>
  </si>
  <si>
    <t>Flat Hardened washer (200 HV) M12 (for Indexing lock)</t>
  </si>
  <si>
    <t>Plain Hardened Washer M 20 ( for roller shaft Nut)</t>
  </si>
  <si>
    <t>Hex Nylock Nut M 20 ( for roller shaft)</t>
  </si>
  <si>
    <t>Socket Low Head Cap screw M6 X 12 Full thread  ( for wear pad)</t>
  </si>
  <si>
    <t>Hex Lock nut M 24 X 3  ( for twist adjustment )</t>
  </si>
  <si>
    <t>Hex head cap screw  M12 X 40 Full thread ( for index locking,Entry nozzle locking)</t>
  </si>
  <si>
    <t>Roller  (for std.# 10)</t>
  </si>
  <si>
    <t>Roller ( for std.# 8)</t>
  </si>
  <si>
    <t>Insert ( Entry nozzle for stand 10) [ 38 x 63 ]</t>
  </si>
  <si>
    <t>Insert ( Entry nozzle for stand 8) [ 45 x 74 ]</t>
  </si>
  <si>
    <t>Roller for std.#10 ( MH India)</t>
  </si>
  <si>
    <t>Roller for std.#8 ( As per drawing)</t>
  </si>
  <si>
    <t>Roller shaft / Eccentric pin</t>
  </si>
  <si>
    <t>Guide Assembly ( complete with accessories)</t>
  </si>
  <si>
    <t>M169081C</t>
  </si>
  <si>
    <t>10285116G</t>
  </si>
  <si>
    <t>10285116H</t>
  </si>
  <si>
    <t>IT-6,GRP 012/66R</t>
  </si>
  <si>
    <t>GRP 012/84R</t>
  </si>
  <si>
    <t>IT-12,GRP 012/66R</t>
  </si>
  <si>
    <t>0os Ring</t>
  </si>
  <si>
    <t>RTD 45</t>
  </si>
  <si>
    <t>Double Arm handle ( M20 X 2.5)</t>
  </si>
  <si>
    <t>Hex Nut M20 X 2.5 ( for twist adjustment )</t>
  </si>
  <si>
    <t>Swing bolt  ( M 20 X 2.5 X 140 Long)</t>
  </si>
  <si>
    <t>Taper Roller bearing 32305</t>
  </si>
  <si>
    <t xml:space="preserve">Flanged Bushing ( OD- 30 X ID - 20) </t>
  </si>
  <si>
    <t>Spherical washer M 20 ( for twist adjustment )</t>
  </si>
  <si>
    <t>DU Bearing ( 18 OD X 16 ID X 25LG) for swing bolt pivot pin</t>
  </si>
  <si>
    <t>Pipe Plug (CSK  1/4 NPT) (to plug the water line hole)</t>
  </si>
  <si>
    <t>Flat socket cap screw M6 X 12 ( for wear pad)</t>
  </si>
  <si>
    <t>Hex Cap screw M6 X 16 full thread ( for swing bolt lock plate)</t>
  </si>
  <si>
    <t>Hex Cap screw M8 X 30 full thread ( for indexing lock)</t>
  </si>
  <si>
    <t>Plain Washer M 8 ( for indexing lock screw)</t>
  </si>
  <si>
    <t>Hex Cap screw M10 X 30 full thread ( to tighten the entry nozzle)</t>
  </si>
  <si>
    <t>Plain Washer M 16 ( for roll shaft nut)</t>
  </si>
  <si>
    <t>Hex Nylock Nut M 16 X 2 (for Roller shaft)</t>
  </si>
  <si>
    <t>Roller  ( for stand 12)</t>
  </si>
  <si>
    <t>Roller  ( for stand 14)</t>
  </si>
  <si>
    <t>Insert ( Entry nozzle for stand 12)  26 x 45</t>
  </si>
  <si>
    <t>Insert ( Entry nozzle for stand 14)  25 x 39</t>
  </si>
  <si>
    <t>M169081B</t>
  </si>
  <si>
    <t>10285118K</t>
  </si>
  <si>
    <t>10285118L</t>
  </si>
  <si>
    <t>IT-2,GRP 012/54 R</t>
  </si>
  <si>
    <t>IT-4,GRP 012/54 R</t>
  </si>
  <si>
    <t>RE 115</t>
  </si>
  <si>
    <t>Guide Box RE-115 AS ( without accessories)</t>
  </si>
  <si>
    <t>Roller Holder RE-115 AS/2 Assembly</t>
  </si>
  <si>
    <t>Pivot Pin cover plate</t>
  </si>
  <si>
    <t>Nut RH  (Housing for above adjusting screw)</t>
  </si>
  <si>
    <t>Nut LH</t>
  </si>
  <si>
    <t>O-ring ( in between Nut and adjusting screw)</t>
  </si>
  <si>
    <t>O-ring</t>
  </si>
  <si>
    <t>Grease fitting 1/8 NPTF STR.</t>
  </si>
  <si>
    <t xml:space="preserve">Tapered roller bearing 33205 </t>
  </si>
  <si>
    <t>DIE DIECO Spring( for roller holder) (Same as RE-75 &amp; RE-45)</t>
  </si>
  <si>
    <t>Socket head cap screw  M 10 x 30 full thread (spring cover)</t>
  </si>
  <si>
    <t>Socket set cup screw M 20 X 50 full thread (to tighten the insert)</t>
  </si>
  <si>
    <t>Adapter Plate (RE-115)</t>
  </si>
  <si>
    <t>Rollers (for stand 5)</t>
  </si>
  <si>
    <t>Rollers (for stand 7)</t>
  </si>
  <si>
    <t>Insert (for stand 5)</t>
  </si>
  <si>
    <t>Insert (for stand 7)</t>
  </si>
  <si>
    <t>Guide Box RE-115 FSA 2 ( complete assembly)</t>
  </si>
  <si>
    <t>Rollers (for stand 5) As per Drg.</t>
  </si>
  <si>
    <t>Rollers (for stand 7) As per Drg.</t>
  </si>
  <si>
    <t>Insert (For stand no.-5)</t>
  </si>
  <si>
    <t>Insert (For stand no.-7)</t>
  </si>
  <si>
    <t>Roll shaft / Pin for std.5 &amp; 7</t>
  </si>
  <si>
    <t>M440546A</t>
  </si>
  <si>
    <t>M432820 AB</t>
  </si>
  <si>
    <t>M439584 B</t>
  </si>
  <si>
    <t>M432813 D</t>
  </si>
  <si>
    <t>10248852 AV</t>
  </si>
  <si>
    <t>10248852 AW</t>
  </si>
  <si>
    <t>GRP 012/89 R</t>
  </si>
  <si>
    <t>IT-4,GRP 012/85 R</t>
  </si>
  <si>
    <t>IT-2,GRP 012/94R</t>
  </si>
  <si>
    <t>?</t>
  </si>
  <si>
    <t>RE 75</t>
  </si>
  <si>
    <t>Guide Box RE-75 AS</t>
  </si>
  <si>
    <t>Roller Holder RE-75 AS/2 Assembly</t>
  </si>
  <si>
    <t>Adjusting screw (to move the roller holder) (M24X1 PITCH)</t>
  </si>
  <si>
    <t>Set screw M 30 X 2 ( to move the roller holder UP/DOWN)</t>
  </si>
  <si>
    <t>Tapered roller bearing 32005X</t>
  </si>
  <si>
    <t>Assy. Adapter Plate (RE 75 ASR-2)</t>
  </si>
  <si>
    <t>Rollers (for stand 9)</t>
  </si>
  <si>
    <t>Rollers (for stand 11)</t>
  </si>
  <si>
    <t>Insert ( for stand 9)            [ 44 x 72 ]</t>
  </si>
  <si>
    <t>Insert ( for stand 11)           [ 25 X70 ]</t>
  </si>
  <si>
    <t>Insert ( for stand 11) 30 X 65 modified (</t>
  </si>
  <si>
    <t>Guide Box RE-75 ASR-2 ( complete assembly)</t>
  </si>
  <si>
    <t>Rollers (for stand 9) MH India supplied</t>
  </si>
  <si>
    <t xml:space="preserve">Rollers (for stand 9) </t>
  </si>
  <si>
    <t>Rollers (for stand 11) MH India supplied</t>
  </si>
  <si>
    <t>Insert (For Stand No.-9)</t>
  </si>
  <si>
    <t>Insert (For Stand No.-11)</t>
  </si>
  <si>
    <t>Roll shaft / Pin for std.9 &amp; 11</t>
  </si>
  <si>
    <t>M436413A</t>
  </si>
  <si>
    <t>M437081A</t>
  </si>
  <si>
    <t>M432814AA</t>
  </si>
  <si>
    <t>M432816AA</t>
  </si>
  <si>
    <t>M437080A</t>
  </si>
  <si>
    <t>M432820AB</t>
  </si>
  <si>
    <t>M437082B</t>
  </si>
  <si>
    <t>10239390YJ</t>
  </si>
  <si>
    <t>10239390YK</t>
  </si>
  <si>
    <t>10316551AL</t>
  </si>
  <si>
    <t>10316551AM</t>
  </si>
  <si>
    <t>10316551BL</t>
  </si>
  <si>
    <t>IT-1,GRP 12/72R</t>
  </si>
  <si>
    <t>IT-7,GRP 012/72R</t>
  </si>
  <si>
    <t>IT-2,GRP 12/72R</t>
  </si>
  <si>
    <t>IT-3,GRP 12/72R</t>
  </si>
  <si>
    <t>FRICTION GUIDES</t>
  </si>
  <si>
    <t>Entry guide</t>
  </si>
  <si>
    <t>Static guide [ 110 x 164 ]</t>
  </si>
  <si>
    <t>Static guide  [ 160 x 120 ]</t>
  </si>
  <si>
    <t>Static receiving guide         [ 85 x 175 ]</t>
  </si>
  <si>
    <t>Static delivery guide           [ 105 x 105 ]</t>
  </si>
  <si>
    <t>Static receiving guide         [ 106 x 106]</t>
  </si>
  <si>
    <t>Static delivery guide           [ Ø 85 ]</t>
  </si>
  <si>
    <t>Static receiving guide         [ 80 x 80]</t>
  </si>
  <si>
    <t>Static delivery guide           [ Ø 63 ]</t>
  </si>
  <si>
    <t>Static receiving guide         [ 61 x 61]</t>
  </si>
  <si>
    <r>
      <t xml:space="preserve">Static guide  [ </t>
    </r>
    <r>
      <rPr>
        <sz val="10"/>
        <rFont val="Arial"/>
        <family val="2"/>
      </rPr>
      <t>Ø</t>
    </r>
    <r>
      <rPr>
        <sz val="10"/>
        <rFont val="Verdana"/>
        <family val="2"/>
      </rPr>
      <t xml:space="preserve"> 52 ]</t>
    </r>
  </si>
  <si>
    <t>Static guide  [ 47 x 47 ]</t>
  </si>
  <si>
    <r>
      <t xml:space="preserve">Static guide  [ </t>
    </r>
    <r>
      <rPr>
        <sz val="10"/>
        <rFont val="Arial"/>
        <family val="2"/>
      </rPr>
      <t>Ø</t>
    </r>
    <r>
      <rPr>
        <sz val="10"/>
        <rFont val="Verdana"/>
        <family val="2"/>
      </rPr>
      <t xml:space="preserve"> 41 ]</t>
    </r>
  </si>
  <si>
    <t>Static guide  [ 36 x 36 ]</t>
  </si>
  <si>
    <r>
      <t xml:space="preserve">Static guide  [ </t>
    </r>
    <r>
      <rPr>
        <sz val="10"/>
        <rFont val="Arial"/>
        <family val="2"/>
      </rPr>
      <t>Ø</t>
    </r>
    <r>
      <rPr>
        <sz val="10"/>
        <rFont val="Verdana"/>
        <family val="2"/>
      </rPr>
      <t xml:space="preserve"> 33 ]</t>
    </r>
  </si>
  <si>
    <t>Static guide  [ 28 x 28 ]</t>
  </si>
  <si>
    <r>
      <t xml:space="preserve">Static guide  [ </t>
    </r>
    <r>
      <rPr>
        <sz val="10"/>
        <rFont val="Arial"/>
        <family val="2"/>
      </rPr>
      <t>Ø</t>
    </r>
    <r>
      <rPr>
        <sz val="10"/>
        <rFont val="Verdana"/>
        <family val="2"/>
      </rPr>
      <t xml:space="preserve"> 28 ]</t>
    </r>
  </si>
  <si>
    <t xml:space="preserve">Guide Box </t>
  </si>
  <si>
    <t>Guide Box</t>
  </si>
  <si>
    <t>Guide Type</t>
  </si>
  <si>
    <t>Friction Entry</t>
  </si>
  <si>
    <t>Friction delivery</t>
  </si>
  <si>
    <t>10374815 - A</t>
  </si>
  <si>
    <t>10374815 - B</t>
  </si>
  <si>
    <t>10323412 - E</t>
  </si>
  <si>
    <t>10214479 J</t>
  </si>
  <si>
    <t>10214479 - D</t>
  </si>
  <si>
    <t xml:space="preserve">10324380 G </t>
  </si>
  <si>
    <t>10214476Y</t>
  </si>
  <si>
    <t>10324380D</t>
  </si>
  <si>
    <t>10214476K</t>
  </si>
  <si>
    <t>10356415A</t>
  </si>
  <si>
    <t>10214476H</t>
  </si>
  <si>
    <t>10356415C</t>
  </si>
  <si>
    <t>0os Seal Ring</t>
  </si>
  <si>
    <t>13,15</t>
  </si>
  <si>
    <t>10,12,14</t>
  </si>
  <si>
    <t>9,11</t>
  </si>
  <si>
    <t>5,7</t>
  </si>
  <si>
    <t>Quantity to be Available</t>
  </si>
  <si>
    <t>REST BAR SPARES</t>
  </si>
  <si>
    <t>Clamp</t>
  </si>
  <si>
    <t>Rest Bar</t>
  </si>
  <si>
    <t>Traversing Rest Bar</t>
  </si>
  <si>
    <t>8D,10D,12D,14D</t>
  </si>
  <si>
    <t>2E,3E</t>
  </si>
  <si>
    <t>1E</t>
  </si>
  <si>
    <t>2D</t>
  </si>
  <si>
    <t>4E,5E,5D,6E,7E,7D</t>
  </si>
  <si>
    <t>1D,3D</t>
  </si>
  <si>
    <t>2E,3E,4E,5E,6E,7E,7D</t>
  </si>
  <si>
    <t>4D,6D</t>
  </si>
  <si>
    <t>5D</t>
  </si>
  <si>
    <t>14D,15E</t>
  </si>
  <si>
    <t>SPARE MANAGEMENT (GUIDE SHOP)</t>
  </si>
  <si>
    <t>Total
For 6 Sets</t>
  </si>
  <si>
    <t>Location/Stand no.</t>
  </si>
  <si>
    <t>Total
For 3 sets</t>
  </si>
  <si>
    <t>Total
For 6 sets</t>
  </si>
  <si>
    <t>Total
For 2 sets</t>
  </si>
  <si>
    <t>.</t>
  </si>
  <si>
    <t>Category</t>
  </si>
  <si>
    <t>Quantity available in SAP</t>
  </si>
  <si>
    <t>Current Stock in mill</t>
  </si>
  <si>
    <t>Green</t>
  </si>
  <si>
    <t>Yellow</t>
  </si>
  <si>
    <t>Red</t>
  </si>
  <si>
    <t>Current Stock in SAP</t>
  </si>
  <si>
    <t>Out of Stock in mill</t>
  </si>
  <si>
    <t>Out of Stock in SAP</t>
  </si>
  <si>
    <t>Component</t>
  </si>
  <si>
    <t>RED</t>
  </si>
  <si>
    <t>Quantity received in mill (NEW)</t>
  </si>
  <si>
    <t>Standard Quantity to be available</t>
  </si>
  <si>
    <t>Quantity Remaining in mill (NEW)</t>
  </si>
  <si>
    <t>Quantity in Use(OLD)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</si>
</sst>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color theme="1"/>
      <name val="Verdana"/>
      <family val="2"/>
    </font>
    <font>
      <b/>
      <sz val="18"/>
      <color theme="1"/>
      <name val="Verdana"/>
      <family val="2"/>
    </font>
    <font>
      <sz val="10"/>
      <color indexed="8"/>
      <name val="Verdana"/>
      <family val="2"/>
    </font>
    <font>
      <sz val="10"/>
      <color indexed="8"/>
      <name val="Arial"/>
      <family val="2"/>
    </font>
    <font>
      <i/>
      <sz val="10"/>
      <name val="Verdana"/>
      <family val="2"/>
    </font>
    <font>
      <sz val="10"/>
      <name val="Arial"/>
      <family val="2"/>
    </font>
    <font>
      <sz val="10"/>
      <color indexed="10"/>
      <name val="Verdana"/>
      <family val="2"/>
    </font>
    <font>
      <b/>
      <sz val="18"/>
      <color theme="1"/>
      <name val="Times New Roman"/>
      <family val="1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Border="1"/>
    <xf numFmtId="0" fontId="2" fillId="4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0" fillId="0" borderId="0" xfId="0" applyBorder="1"/>
    <xf numFmtId="0" fontId="2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vertical="center" textRotation="90"/>
    </xf>
    <xf numFmtId="0" fontId="1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8" borderId="4" xfId="0" applyFill="1" applyBorder="1"/>
    <xf numFmtId="0" fontId="0" fillId="2" borderId="12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textRotation="90"/>
    </xf>
    <xf numFmtId="0" fontId="9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5">
    <dxf>
      <fill>
        <patternFill patternType="gray125">
          <bgColor rgb="FFFF0000"/>
        </patternFill>
      </fill>
    </dxf>
    <dxf>
      <fill>
        <patternFill patternType="gray125">
          <bgColor theme="7" tint="0.39994506668294322"/>
        </patternFill>
      </fill>
    </dxf>
    <dxf>
      <fill>
        <patternFill patternType="gray125">
          <bgColor theme="9" tint="0.39994506668294322"/>
        </patternFill>
      </fill>
    </dxf>
    <dxf>
      <fill>
        <patternFill patternType="gray125">
          <bgColor rgb="FFFF0000"/>
        </patternFill>
      </fill>
    </dxf>
    <dxf>
      <fill>
        <patternFill patternType="gray125">
          <bgColor theme="7" tint="0.39994506668294322"/>
        </patternFill>
      </fill>
    </dxf>
    <dxf>
      <fill>
        <patternFill patternType="gray125">
          <bgColor theme="9" tint="0.39994506668294322"/>
        </patternFill>
      </fill>
    </dxf>
    <dxf>
      <fill>
        <patternFill patternType="gray125">
          <bgColor theme="7" tint="0.39994506668294322"/>
        </patternFill>
      </fill>
    </dxf>
    <dxf>
      <fill>
        <patternFill patternType="gray125">
          <bgColor theme="9" tint="0.39994506668294322"/>
        </patternFill>
      </fill>
    </dxf>
    <dxf>
      <fill>
        <patternFill patternType="gray125">
          <bgColor rgb="FFFF0000"/>
        </patternFill>
      </fill>
    </dxf>
    <dxf>
      <fill>
        <patternFill patternType="gray125">
          <bgColor theme="7" tint="0.39994506668294322"/>
        </patternFill>
      </fill>
    </dxf>
    <dxf>
      <fill>
        <patternFill patternType="gray125">
          <bgColor theme="9" tint="0.39994506668294322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0625">
          <bgColor theme="5"/>
        </patternFill>
      </fill>
    </dxf>
    <dxf>
      <fill>
        <patternFill patternType="gray125">
          <bgColor theme="5"/>
        </patternFill>
      </fill>
    </dxf>
    <dxf>
      <fill>
        <patternFill patternType="gray125">
          <bgColor rgb="FFFF0000"/>
        </patternFill>
      </fill>
    </dxf>
    <dxf>
      <fill>
        <patternFill patternType="gray125">
          <bgColor theme="7" tint="0.39994506668294322"/>
        </patternFill>
      </fill>
    </dxf>
    <dxf>
      <fill>
        <patternFill patternType="gray125">
          <bgColor theme="9" tint="0.39994506668294322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615315</xdr:colOff>
      <xdr:row>2</xdr:row>
      <xdr:rowOff>76200</xdr:rowOff>
    </xdr:from>
    <xdr:to>
      <xdr:col>2</xdr:col>
      <xdr:colOff>449579</xdr:colOff>
      <xdr:row>7</xdr:row>
      <xdr:rowOff>76200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972417A3-A9DA-38EB-1535-94D23D9E9543}"/>
            </a:ext>
          </a:extLst>
        </xdr:cNvPr>
        <xdr:cNvGrpSpPr/>
      </xdr:nvGrpSpPr>
      <xdr:grpSpPr>
        <a:xfrm>
          <a:off x="615315" y="436033"/>
          <a:ext cx="1792181" cy="899584"/>
          <a:chOff x="259080" y="457200"/>
          <a:chExt cx="1790699" cy="9144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C3DD8B2B-3E05-28A0-FBEC-942AFC6AA560}"/>
              </a:ext>
            </a:extLst>
          </xdr:cNvPr>
          <xdr:cNvSpPr/>
        </xdr:nvSpPr>
        <xdr:spPr>
          <a:xfrm>
            <a:off x="259080" y="457200"/>
            <a:ext cx="1790699" cy="914400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3BD2C10-E7A0-E596-BA39-BCCC269C322C}"/>
              </a:ext>
            </a:extLst>
          </xdr:cNvPr>
          <xdr:cNvSpPr txBox="1"/>
        </xdr:nvSpPr>
        <xdr:spPr>
          <a:xfrm>
            <a:off x="385729" y="853440"/>
            <a:ext cx="1457480" cy="487680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Total</a:t>
            </a:r>
            <a:r>
              <a:rPr lang="en-IN" sz="1200" b="1" baseline="0"/>
              <a:t> Stock in GREEN</a:t>
            </a:r>
            <a:endParaRPr lang="en-IN" sz="1200" b="1"/>
          </a:p>
        </xdr:txBody>
      </xdr:sp>
      <xdr:sp macro="" textlink="'Stock In-Out'!B6">
        <xdr:nvSpPr>
          <xdr:cNvPr id="18" name="TextBox 17">
            <a:extLst>
              <a:ext uri="{FF2B5EF4-FFF2-40B4-BE49-F238E27FC236}">
                <a16:creationId xmlns:a16="http://schemas.microsoft.com/office/drawing/2014/main" id="{55F8B195-348D-D6FD-5F07-9319F102EFC2}"/>
              </a:ext>
            </a:extLst>
          </xdr:cNvPr>
          <xdr:cNvSpPr txBox="1"/>
        </xdr:nvSpPr>
        <xdr:spPr>
          <a:xfrm>
            <a:off x="641200" y="593696"/>
            <a:ext cx="1054651" cy="257826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CBF7FD4-694A-4A72-A61D-2D7BCE1DD4B8}" type="TxLink">
              <a:rPr lang="en-US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209</a:t>
            </a:fld>
            <a:endParaRPr lang="en-IN" sz="16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16</xdr:col>
      <xdr:colOff>461645</xdr:colOff>
      <xdr:row>2</xdr:row>
      <xdr:rowOff>76200</xdr:rowOff>
    </xdr:from>
    <xdr:to>
      <xdr:col>17</xdr:col>
      <xdr:colOff>1488439</xdr:colOff>
      <xdr:row>7</xdr:row>
      <xdr:rowOff>76200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F87DC28E-10D0-06C4-AF23-13180303C05F}"/>
            </a:ext>
          </a:extLst>
        </xdr:cNvPr>
        <xdr:cNvGrpSpPr/>
      </xdr:nvGrpSpPr>
      <xdr:grpSpPr>
        <a:xfrm>
          <a:off x="14876145" y="436033"/>
          <a:ext cx="1640627" cy="899584"/>
          <a:chOff x="7795895" y="438150"/>
          <a:chExt cx="1636394" cy="904875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8B6C7C70-CAE6-40C2-A078-9A4F107E819F}"/>
              </a:ext>
            </a:extLst>
          </xdr:cNvPr>
          <xdr:cNvSpPr/>
        </xdr:nvSpPr>
        <xdr:spPr>
          <a:xfrm>
            <a:off x="7795895" y="438150"/>
            <a:ext cx="1636394" cy="904875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99E8AFEA-600B-A22E-C1E8-33A78AC6E8EA}"/>
              </a:ext>
            </a:extLst>
          </xdr:cNvPr>
          <xdr:cNvSpPr txBox="1"/>
        </xdr:nvSpPr>
        <xdr:spPr>
          <a:xfrm>
            <a:off x="8053794" y="848212"/>
            <a:ext cx="1134777" cy="479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Out of</a:t>
            </a:r>
            <a:r>
              <a:rPr lang="en-IN" sz="1200" b="1" baseline="0"/>
              <a:t> </a:t>
            </a:r>
            <a:r>
              <a:rPr lang="en-IN" sz="1200" b="1" i="0" baseline="0"/>
              <a:t>Stock in mill</a:t>
            </a:r>
            <a:endParaRPr lang="en-IN" sz="1200" b="1" i="0"/>
          </a:p>
        </xdr:txBody>
      </xdr:sp>
      <xdr:sp macro="" textlink="'Stock In-Out'!B4">
        <xdr:nvSpPr>
          <xdr:cNvPr id="23" name="TextBox 22">
            <a:extLst>
              <a:ext uri="{FF2B5EF4-FFF2-40B4-BE49-F238E27FC236}">
                <a16:creationId xmlns:a16="http://schemas.microsoft.com/office/drawing/2014/main" id="{313AB1E2-E272-D3BA-142B-5747035D155B}"/>
              </a:ext>
            </a:extLst>
          </xdr:cNvPr>
          <xdr:cNvSpPr txBox="1"/>
        </xdr:nvSpPr>
        <xdr:spPr>
          <a:xfrm>
            <a:off x="8088611" y="533474"/>
            <a:ext cx="1026511" cy="3316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DF2058B-EC8D-4523-9AA4-67730332CDCE}" type="TxLink">
              <a:rPr lang="en-US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2</a:t>
            </a:fld>
            <a:endParaRPr lang="en-IN" sz="16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4</xdr:col>
      <xdr:colOff>37465</xdr:colOff>
      <xdr:row>2</xdr:row>
      <xdr:rowOff>76200</xdr:rowOff>
    </xdr:from>
    <xdr:to>
      <xdr:col>6</xdr:col>
      <xdr:colOff>163194</xdr:colOff>
      <xdr:row>7</xdr:row>
      <xdr:rowOff>76200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82B87FCD-84BA-0CA1-4D83-453216A67394}"/>
            </a:ext>
          </a:extLst>
        </xdr:cNvPr>
        <xdr:cNvGrpSpPr/>
      </xdr:nvGrpSpPr>
      <xdr:grpSpPr>
        <a:xfrm>
          <a:off x="4217882" y="436033"/>
          <a:ext cx="1787312" cy="899584"/>
          <a:chOff x="2232660" y="472440"/>
          <a:chExt cx="1790699" cy="914400"/>
        </a:xfrm>
      </xdr:grpSpPr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A2BE6AE7-E4CD-4BF0-A19B-A8BA367C82C0}"/>
              </a:ext>
            </a:extLst>
          </xdr:cNvPr>
          <xdr:cNvSpPr/>
        </xdr:nvSpPr>
        <xdr:spPr>
          <a:xfrm>
            <a:off x="2232660" y="472440"/>
            <a:ext cx="1790699" cy="914400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63570AD9-487A-43D8-9D02-B62AB57B78E9}"/>
              </a:ext>
            </a:extLst>
          </xdr:cNvPr>
          <xdr:cNvSpPr txBox="1"/>
        </xdr:nvSpPr>
        <xdr:spPr>
          <a:xfrm>
            <a:off x="2366929" y="853440"/>
            <a:ext cx="1457480" cy="487680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Total</a:t>
            </a:r>
            <a:r>
              <a:rPr lang="en-IN" sz="1200" b="1" baseline="0"/>
              <a:t> Stock in YELLOW</a:t>
            </a:r>
            <a:endParaRPr lang="en-IN" sz="1200" b="1"/>
          </a:p>
        </xdr:txBody>
      </xdr:sp>
      <xdr:sp macro="" textlink="'Stock In-Out'!B7">
        <xdr:nvSpPr>
          <xdr:cNvPr id="35" name="TextBox 34">
            <a:extLst>
              <a:ext uri="{FF2B5EF4-FFF2-40B4-BE49-F238E27FC236}">
                <a16:creationId xmlns:a16="http://schemas.microsoft.com/office/drawing/2014/main" id="{4D43ACBD-2B75-4B27-8B24-EFE819271A7F}"/>
              </a:ext>
            </a:extLst>
          </xdr:cNvPr>
          <xdr:cNvSpPr txBox="1"/>
        </xdr:nvSpPr>
        <xdr:spPr>
          <a:xfrm>
            <a:off x="2622400" y="593696"/>
            <a:ext cx="1054651" cy="257826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9523F23-0A34-4205-9419-6450624A286A}" type="TxLink">
              <a:rPr lang="en-US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5</a:t>
            </a:fld>
            <a:endParaRPr lang="en-IN" sz="16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7</xdr:col>
      <xdr:colOff>827405</xdr:colOff>
      <xdr:row>2</xdr:row>
      <xdr:rowOff>76200</xdr:rowOff>
    </xdr:from>
    <xdr:to>
      <xdr:col>9</xdr:col>
      <xdr:colOff>880744</xdr:colOff>
      <xdr:row>7</xdr:row>
      <xdr:rowOff>76200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FBC71DF7-B8C6-AFA0-773B-6B52EB713A5E}"/>
            </a:ext>
          </a:extLst>
        </xdr:cNvPr>
        <xdr:cNvGrpSpPr/>
      </xdr:nvGrpSpPr>
      <xdr:grpSpPr>
        <a:xfrm>
          <a:off x="7812405" y="436033"/>
          <a:ext cx="1799589" cy="899584"/>
          <a:chOff x="4145280" y="487680"/>
          <a:chExt cx="1790699" cy="914400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78188782-8228-4D23-B554-BAF59A5455BA}"/>
              </a:ext>
            </a:extLst>
          </xdr:cNvPr>
          <xdr:cNvSpPr/>
        </xdr:nvSpPr>
        <xdr:spPr>
          <a:xfrm>
            <a:off x="4145280" y="487680"/>
            <a:ext cx="1790699" cy="914400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C5AB66C8-A2A7-4DB0-9783-FD9761558743}"/>
              </a:ext>
            </a:extLst>
          </xdr:cNvPr>
          <xdr:cNvSpPr txBox="1"/>
        </xdr:nvSpPr>
        <xdr:spPr>
          <a:xfrm>
            <a:off x="4302409" y="975360"/>
            <a:ext cx="1457480" cy="289560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Total</a:t>
            </a:r>
            <a:r>
              <a:rPr lang="en-IN" sz="1200" b="1" baseline="0"/>
              <a:t> Stock in RED</a:t>
            </a:r>
            <a:endParaRPr lang="en-IN" sz="1200" b="1"/>
          </a:p>
        </xdr:txBody>
      </xdr:sp>
      <xdr:sp macro="" textlink="'Stock In-Out'!B8">
        <xdr:nvSpPr>
          <xdr:cNvPr id="38" name="TextBox 37">
            <a:extLst>
              <a:ext uri="{FF2B5EF4-FFF2-40B4-BE49-F238E27FC236}">
                <a16:creationId xmlns:a16="http://schemas.microsoft.com/office/drawing/2014/main" id="{A3B93E19-DAD5-43C3-B1BA-3A2AEA72D54B}"/>
              </a:ext>
            </a:extLst>
          </xdr:cNvPr>
          <xdr:cNvSpPr txBox="1"/>
        </xdr:nvSpPr>
        <xdr:spPr>
          <a:xfrm>
            <a:off x="4535020" y="624176"/>
            <a:ext cx="1054651" cy="257826"/>
          </a:xfrm>
          <a:prstGeom prst="rect">
            <a:avLst/>
          </a:prstGeom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7F8B6DA-7D9E-4CE5-86B0-6D12D0F718CF}" type="TxLink">
              <a:rPr lang="en-US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4</a:t>
            </a:fld>
            <a:endParaRPr lang="en-IN" sz="16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11</xdr:col>
      <xdr:colOff>754380</xdr:colOff>
      <xdr:row>2</xdr:row>
      <xdr:rowOff>76200</xdr:rowOff>
    </xdr:from>
    <xdr:to>
      <xdr:col>13</xdr:col>
      <xdr:colOff>365759</xdr:colOff>
      <xdr:row>7</xdr:row>
      <xdr:rowOff>76200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7C3161A-5930-5728-51A1-425B84C31723}"/>
            </a:ext>
          </a:extLst>
        </xdr:cNvPr>
        <xdr:cNvGrpSpPr/>
      </xdr:nvGrpSpPr>
      <xdr:grpSpPr>
        <a:xfrm>
          <a:off x="11411797" y="436033"/>
          <a:ext cx="1791545" cy="899584"/>
          <a:chOff x="6057900" y="441960"/>
          <a:chExt cx="1790699" cy="914400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ED6EECA5-3481-490B-A4AF-67D980A363D2}"/>
              </a:ext>
            </a:extLst>
          </xdr:cNvPr>
          <xdr:cNvSpPr/>
        </xdr:nvSpPr>
        <xdr:spPr>
          <a:xfrm>
            <a:off x="6057900" y="441960"/>
            <a:ext cx="1790699" cy="914400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89E64926-18A4-B384-3023-7F7ACA777369}"/>
              </a:ext>
            </a:extLst>
          </xdr:cNvPr>
          <xdr:cNvGrpSpPr/>
        </xdr:nvGrpSpPr>
        <xdr:grpSpPr>
          <a:xfrm>
            <a:off x="6380125" y="556263"/>
            <a:ext cx="1201777" cy="762001"/>
            <a:chOff x="7418748" y="2686952"/>
            <a:chExt cx="1211098" cy="927111"/>
          </a:xfrm>
        </xdr:grpSpPr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C03295E-1A7F-8479-05C4-262F0828A8FC}"/>
                </a:ext>
              </a:extLst>
            </xdr:cNvPr>
            <xdr:cNvSpPr txBox="1"/>
          </xdr:nvSpPr>
          <xdr:spPr>
            <a:xfrm>
              <a:off x="7418748" y="3029984"/>
              <a:ext cx="1211098" cy="5840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200" b="1"/>
                <a:t>Total Stock Cost in mill ( in Rs )</a:t>
              </a:r>
            </a:p>
          </xdr:txBody>
        </xdr:sp>
        <xdr:sp macro="" textlink="'Stock In-Out'!B3">
          <xdr:nvSpPr>
            <xdr:cNvPr id="32" name="TextBox 31">
              <a:extLst>
                <a:ext uri="{FF2B5EF4-FFF2-40B4-BE49-F238E27FC236}">
                  <a16:creationId xmlns:a16="http://schemas.microsoft.com/office/drawing/2014/main" id="{82D98038-2859-25F4-BCF1-938CE9B3F430}"/>
                </a:ext>
              </a:extLst>
            </xdr:cNvPr>
            <xdr:cNvSpPr txBox="1"/>
          </xdr:nvSpPr>
          <xdr:spPr>
            <a:xfrm>
              <a:off x="7475937" y="2686952"/>
              <a:ext cx="1053666" cy="3929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DDF1153-EAB3-418D-B9A9-12B106CB84BF}" type="TxLink">
                <a:rPr lang="en-US" sz="1600" b="1" i="0" u="none" strike="noStrike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Calibri"/>
                  <a:cs typeface="Calibri"/>
                </a:rPr>
                <a:pPr algn="ctr"/>
                <a:t>6528175</a:t>
              </a:fld>
              <a:endParaRPr lang="en-IN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cs typeface="Calibri"/>
              </a:endParaRPr>
            </a:p>
          </xdr:txBody>
        </xdr:sp>
      </xdr:grpSp>
    </xdr:grpSp>
    <xdr:clientData/>
  </xdr:twoCellAnchor>
  <xdr:twoCellAnchor editAs="absolute">
    <xdr:from>
      <xdr:col>19</xdr:col>
      <xdr:colOff>382270</xdr:colOff>
      <xdr:row>2</xdr:row>
      <xdr:rowOff>76200</xdr:rowOff>
    </xdr:from>
    <xdr:to>
      <xdr:col>20</xdr:col>
      <xdr:colOff>1563369</xdr:colOff>
      <xdr:row>7</xdr:row>
      <xdr:rowOff>76200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532830FE-578F-EC84-556D-B02E47E0CBE5}"/>
            </a:ext>
          </a:extLst>
        </xdr:cNvPr>
        <xdr:cNvGrpSpPr/>
      </xdr:nvGrpSpPr>
      <xdr:grpSpPr>
        <a:xfrm>
          <a:off x="17421437" y="436033"/>
          <a:ext cx="1794932" cy="899584"/>
          <a:chOff x="9573895" y="438150"/>
          <a:chExt cx="1790699" cy="904875"/>
        </a:xfrm>
      </xdr:grpSpPr>
      <xdr:sp macro="" textlink="">
        <xdr:nvSpPr>
          <xdr:cNvPr id="59" name="Rectangle: Rounded Corners 58">
            <a:extLst>
              <a:ext uri="{FF2B5EF4-FFF2-40B4-BE49-F238E27FC236}">
                <a16:creationId xmlns:a16="http://schemas.microsoft.com/office/drawing/2014/main" id="{C22F8299-E22D-2596-41D0-1D52484025C6}"/>
              </a:ext>
            </a:extLst>
          </xdr:cNvPr>
          <xdr:cNvSpPr/>
        </xdr:nvSpPr>
        <xdr:spPr>
          <a:xfrm>
            <a:off x="9573895" y="438150"/>
            <a:ext cx="1790699" cy="904875"/>
          </a:xfrm>
          <a:prstGeom prst="roundRect">
            <a:avLst/>
          </a:prstGeom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A780CFF0-4229-94FB-2CB9-7F350411FEC4}"/>
              </a:ext>
            </a:extLst>
          </xdr:cNvPr>
          <xdr:cNvSpPr txBox="1"/>
        </xdr:nvSpPr>
        <xdr:spPr>
          <a:xfrm>
            <a:off x="9924693" y="792559"/>
            <a:ext cx="1123307" cy="497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Out of</a:t>
            </a:r>
            <a:r>
              <a:rPr lang="en-IN" sz="1200" b="1" baseline="0"/>
              <a:t> </a:t>
            </a:r>
            <a:r>
              <a:rPr lang="en-IN" sz="1200" b="1" i="0" baseline="0"/>
              <a:t>Stock in SAP</a:t>
            </a:r>
            <a:endParaRPr lang="en-IN" sz="1200" b="1" i="0"/>
          </a:p>
        </xdr:txBody>
      </xdr:sp>
      <xdr:sp macro="" textlink="'Stock In-Out'!B9">
        <xdr:nvSpPr>
          <xdr:cNvPr id="62" name="TextBox 61">
            <a:extLst>
              <a:ext uri="{FF2B5EF4-FFF2-40B4-BE49-F238E27FC236}">
                <a16:creationId xmlns:a16="http://schemas.microsoft.com/office/drawing/2014/main" id="{1B6B8E08-E54D-9DAB-C584-75E1B349C3BA}"/>
              </a:ext>
            </a:extLst>
          </xdr:cNvPr>
          <xdr:cNvSpPr txBox="1"/>
        </xdr:nvSpPr>
        <xdr:spPr>
          <a:xfrm>
            <a:off x="9894213" y="533474"/>
            <a:ext cx="1123307" cy="3316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055C39A-9E5D-4C4A-83F0-A40D7F98965D}" type="TxLink">
              <a:rPr lang="en-US" sz="16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2</a:t>
            </a:fld>
            <a:endParaRPr lang="en-IN" sz="16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5</xdr:col>
      <xdr:colOff>360045</xdr:colOff>
      <xdr:row>8</xdr:row>
      <xdr:rowOff>91440</xdr:rowOff>
    </xdr:from>
    <xdr:to>
      <xdr:col>8</xdr:col>
      <xdr:colOff>152400</xdr:colOff>
      <xdr:row>11</xdr:row>
      <xdr:rowOff>175260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1B459DDD-2103-94D7-0EA9-FB62C65ED0E7}"/>
            </a:ext>
          </a:extLst>
        </xdr:cNvPr>
        <xdr:cNvGrpSpPr/>
      </xdr:nvGrpSpPr>
      <xdr:grpSpPr>
        <a:xfrm>
          <a:off x="5387128" y="1530773"/>
          <a:ext cx="2586355" cy="655320"/>
          <a:chOff x="5379720" y="1539240"/>
          <a:chExt cx="2375535" cy="664845"/>
        </a:xfrm>
      </xdr:grpSpPr>
      <xdr:sp macro="" textlink="">
        <xdr:nvSpPr>
          <xdr:cNvPr id="70" name="Rectangle: Rounded Corners 69">
            <a:extLst>
              <a:ext uri="{FF2B5EF4-FFF2-40B4-BE49-F238E27FC236}">
                <a16:creationId xmlns:a16="http://schemas.microsoft.com/office/drawing/2014/main" id="{A5F59DD9-ECD8-C069-00AE-45C8EAF13CB3}"/>
              </a:ext>
            </a:extLst>
          </xdr:cNvPr>
          <xdr:cNvSpPr/>
        </xdr:nvSpPr>
        <xdr:spPr>
          <a:xfrm>
            <a:off x="5379720" y="1539240"/>
            <a:ext cx="2375535" cy="664845"/>
          </a:xfrm>
          <a:prstGeom prst="roundRect">
            <a:avLst/>
          </a:prstGeom>
          <a:noFill/>
          <a:ln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FB5FE99-E6F9-4739-A893-7ADAFC4D57AE}"/>
              </a:ext>
            </a:extLst>
          </xdr:cNvPr>
          <xdr:cNvSpPr txBox="1"/>
        </xdr:nvSpPr>
        <xdr:spPr>
          <a:xfrm>
            <a:off x="5589271" y="1758315"/>
            <a:ext cx="982980" cy="2933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200" b="1"/>
              <a:t>Stock Type -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806822</xdr:colOff>
      <xdr:row>2</xdr:row>
      <xdr:rowOff>44824</xdr:rowOff>
    </xdr:from>
    <xdr:to>
      <xdr:col>8</xdr:col>
      <xdr:colOff>138970</xdr:colOff>
      <xdr:row>6</xdr:row>
      <xdr:rowOff>69477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6427F5D-7FAE-A719-B93F-827C93900720}"/>
            </a:ext>
          </a:extLst>
        </xdr:cNvPr>
        <xdr:cNvGrpSpPr/>
      </xdr:nvGrpSpPr>
      <xdr:grpSpPr>
        <a:xfrm>
          <a:off x="6212540" y="403412"/>
          <a:ext cx="2505654" cy="759759"/>
          <a:chOff x="6212540" y="403412"/>
          <a:chExt cx="2505654" cy="759759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BAB537-6749-7C50-437C-7BD7126F9F93}"/>
              </a:ext>
            </a:extLst>
          </xdr:cNvPr>
          <xdr:cNvSpPr/>
        </xdr:nvSpPr>
        <xdr:spPr>
          <a:xfrm>
            <a:off x="6212540" y="403412"/>
            <a:ext cx="2505654" cy="759759"/>
          </a:xfrm>
          <a:prstGeom prst="roundRect">
            <a:avLst/>
          </a:prstGeom>
          <a:noFill/>
          <a:ln>
            <a:solidFill>
              <a:schemeClr val="bg1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4D478C6-67D9-375E-34F5-5DA7FF8460B3}"/>
              </a:ext>
            </a:extLst>
          </xdr:cNvPr>
          <xdr:cNvSpPr txBox="1"/>
        </xdr:nvSpPr>
        <xdr:spPr>
          <a:xfrm>
            <a:off x="6731023" y="437319"/>
            <a:ext cx="1490432" cy="280781"/>
          </a:xfrm>
          <a:prstGeom prst="rect">
            <a:avLst/>
          </a:prstGeom>
          <a:noFill/>
          <a:ln w="9525" cmpd="sng">
            <a:noFill/>
          </a:ln>
          <a:effectLst>
            <a:glow rad="63500">
              <a:schemeClr val="accent2">
                <a:satMod val="175000"/>
                <a:alpha val="4000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2000" b="0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rPr>
              <a:t>Search</a:t>
            </a:r>
            <a:endParaRPr lang="en-IN" sz="2000" b="0" i="0" cap="none" spc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B39-A882-4A6B-9B8C-3A2399695FE0}">
  <sheetPr codeName="Sheet1"/>
  <dimension ref="A1:U245"/>
  <sheetViews>
    <sheetView showGridLines="0" tabSelected="1" zoomScale="72" zoomScaleNormal="72" workbookViewId="0">
      <pane ySplit="15" topLeftCell="A16" activePane="bottomLeft" state="frozen"/>
      <selection pane="bottomLeft" activeCell="M11" sqref="M11"/>
    </sheetView>
  </sheetViews>
  <sheetFormatPr defaultRowHeight="14.4" x14ac:dyDescent="0.3"/>
  <cols>
    <col min="1" max="1" width="9.21875" style="61" customWidth="1"/>
    <col min="2" max="2" width="19.33203125" style="61" bestFit="1" customWidth="1"/>
    <col min="3" max="3" width="15.6640625" style="61" customWidth="1"/>
    <col min="4" max="4" width="16.6640625" style="61" customWidth="1"/>
    <col min="5" max="5" width="12.33203125" style="61" customWidth="1"/>
    <col min="6" max="6" width="11.88671875" style="61" customWidth="1"/>
    <col min="7" max="7" width="16.6640625" style="61" customWidth="1"/>
    <col min="8" max="8" width="12.21875" style="61" customWidth="1"/>
    <col min="9" max="9" width="13.21875" style="61" customWidth="1"/>
    <col min="10" max="10" width="14.88671875" style="61" customWidth="1"/>
    <col min="11" max="11" width="13.33203125" style="61" customWidth="1"/>
    <col min="12" max="12" width="15.77734375" style="61" customWidth="1"/>
    <col min="13" max="13" width="16" style="61" customWidth="1"/>
    <col min="14" max="14" width="10.77734375" style="64" customWidth="1"/>
    <col min="15" max="15" width="10.77734375" style="65" customWidth="1"/>
    <col min="16" max="16" width="1.33203125" style="48" customWidth="1"/>
    <col min="17" max="17" width="8.88671875" style="8"/>
    <col min="18" max="18" width="27.88671875" style="45" bestFit="1" customWidth="1"/>
    <col min="19" max="19" width="1.33203125" style="51" customWidth="1"/>
    <col min="20" max="20" width="8.88671875" style="8"/>
    <col min="21" max="21" width="27.88671875" style="47" bestFit="1" customWidth="1"/>
  </cols>
  <sheetData>
    <row r="1" spans="1:21" s="8" customFormat="1" ht="14.4" customHeight="1" x14ac:dyDescent="0.3">
      <c r="A1" s="68" t="s">
        <v>265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</row>
    <row r="2" spans="1:21" s="8" customFormat="1" ht="14.4" customHeight="1" x14ac:dyDescent="0.3">
      <c r="A2" s="68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10" spans="1:21" ht="15" thickBot="1" x14ac:dyDescent="0.35"/>
    <row r="11" spans="1:21" ht="16.2" thickBot="1" x14ac:dyDescent="0.35">
      <c r="G11" s="62"/>
      <c r="H11" s="63" t="s">
        <v>282</v>
      </c>
    </row>
    <row r="14" spans="1:21" ht="14.4" customHeight="1" x14ac:dyDescent="0.3">
      <c r="A14" s="66" t="s">
        <v>1</v>
      </c>
      <c r="B14" s="66" t="s">
        <v>0</v>
      </c>
      <c r="C14" s="66" t="s">
        <v>2</v>
      </c>
      <c r="D14" s="70" t="s">
        <v>3</v>
      </c>
      <c r="E14" s="70" t="s">
        <v>66</v>
      </c>
      <c r="F14" s="66" t="s">
        <v>4</v>
      </c>
      <c r="G14" s="66" t="s">
        <v>284</v>
      </c>
      <c r="H14" s="66" t="s">
        <v>273</v>
      </c>
      <c r="I14" s="66" t="s">
        <v>283</v>
      </c>
      <c r="J14" s="66" t="s">
        <v>286</v>
      </c>
      <c r="K14" s="66" t="s">
        <v>285</v>
      </c>
      <c r="L14" s="66" t="s">
        <v>68</v>
      </c>
      <c r="M14" s="66" t="s">
        <v>65</v>
      </c>
      <c r="N14" s="66" t="s">
        <v>267</v>
      </c>
      <c r="O14" s="66" t="s">
        <v>230</v>
      </c>
      <c r="Q14" s="67" t="s">
        <v>279</v>
      </c>
      <c r="R14" s="67"/>
      <c r="T14" s="67" t="s">
        <v>280</v>
      </c>
      <c r="U14" s="67"/>
    </row>
    <row r="15" spans="1:21" ht="32.4" customHeight="1" x14ac:dyDescent="0.3">
      <c r="A15" s="66"/>
      <c r="B15" s="66"/>
      <c r="C15" s="66"/>
      <c r="D15" s="70"/>
      <c r="E15" s="70"/>
      <c r="F15" s="66"/>
      <c r="G15" s="66"/>
      <c r="H15" s="66"/>
      <c r="I15" s="66"/>
      <c r="J15" s="66"/>
      <c r="K15" s="66"/>
      <c r="L15" s="66"/>
      <c r="M15" s="66"/>
      <c r="N15" s="66"/>
      <c r="O15" s="66"/>
      <c r="Q15" s="52" t="s">
        <v>1</v>
      </c>
      <c r="R15" s="49" t="s">
        <v>281</v>
      </c>
      <c r="T15" s="52" t="s">
        <v>1</v>
      </c>
      <c r="U15" s="50" t="s">
        <v>281</v>
      </c>
    </row>
    <row r="16" spans="1:21" s="26" customFormat="1" ht="43.2" customHeight="1" x14ac:dyDescent="0.3">
      <c r="A16" s="64" cm="1">
        <f t="array" ref="A16:O19">_xlfn._xlws.FILTER(IF('Stock Final'!B10:P233="","",'Stock Final'!B10:P233),'Stock Final'!Q10:Q233=H11)</f>
        <v>15</v>
      </c>
      <c r="B16" s="64" t="str">
        <v>DIE DIECO Spring( for roller holder) (Same as RE-115 &amp; RE-45)</v>
      </c>
      <c r="C16" s="64" t="str">
        <v>M432813D</v>
      </c>
      <c r="D16" s="64">
        <v>112052060</v>
      </c>
      <c r="E16" s="64">
        <v>1280</v>
      </c>
      <c r="F16" s="64">
        <v>2</v>
      </c>
      <c r="G16" s="64">
        <v>36</v>
      </c>
      <c r="H16" s="64">
        <v>10</v>
      </c>
      <c r="I16" s="64">
        <v>10</v>
      </c>
      <c r="J16" s="64">
        <v>6</v>
      </c>
      <c r="K16" s="64">
        <v>4</v>
      </c>
      <c r="L16" s="64">
        <v>40</v>
      </c>
      <c r="M16" s="64">
        <v>5120</v>
      </c>
      <c r="N16" s="64" t="str">
        <v>-</v>
      </c>
      <c r="O16" s="65" t="str">
        <v>-</v>
      </c>
      <c r="P16" s="48"/>
      <c r="Q16" s="33" cm="1">
        <f t="array" ref="Q16:R17">_xlfn._xlws.FILTER(IF('Stock Final'!B10:C236="","",'Stock Final'!B10:C236),'Stock Final'!L10:L236=0)</f>
        <v>50</v>
      </c>
      <c r="R16" s="46" t="str">
        <v xml:space="preserve">Flanged Bushing ( OD- 40 X ID - 30) </v>
      </c>
      <c r="S16" s="51"/>
      <c r="T16" s="33" cm="1">
        <f t="array" ref="T16:U17">_xlfn._xlws.FILTER(IF('Stock Final'!B10:C236="","",'Stock Final'!B10:C236),'Stock Final'!I10:I236=0)</f>
        <v>37</v>
      </c>
      <c r="U16" s="47" t="str">
        <v>Lower Guide Body</v>
      </c>
    </row>
    <row r="17" spans="1:21" s="26" customFormat="1" x14ac:dyDescent="0.3">
      <c r="A17" s="64">
        <v>44</v>
      </c>
      <c r="B17" s="64" t="str">
        <v>Wear Pad</v>
      </c>
      <c r="C17" s="64">
        <v>10284295</v>
      </c>
      <c r="D17" s="64">
        <v>112507001</v>
      </c>
      <c r="E17" s="64">
        <v>1564</v>
      </c>
      <c r="F17" s="64">
        <v>2</v>
      </c>
      <c r="G17" s="64">
        <v>18</v>
      </c>
      <c r="H17" s="64">
        <v>5</v>
      </c>
      <c r="I17" s="64">
        <v>6</v>
      </c>
      <c r="J17" s="64">
        <v>3</v>
      </c>
      <c r="K17" s="64">
        <v>3</v>
      </c>
      <c r="L17" s="64">
        <v>50</v>
      </c>
      <c r="M17" s="64">
        <v>4692</v>
      </c>
      <c r="N17" s="64" t="str">
        <v>-</v>
      </c>
      <c r="O17" s="65" t="str">
        <v>-</v>
      </c>
      <c r="P17" s="48"/>
      <c r="Q17" s="33">
        <v>172</v>
      </c>
      <c r="R17" s="46" t="str">
        <v>Socket set cup screw M16 X 25 (to tighten the insert)</v>
      </c>
      <c r="S17" s="51"/>
      <c r="T17" s="33">
        <v>163</v>
      </c>
      <c r="U17" s="47" t="str">
        <v>Thrust Plate ( below the pivot pin)</v>
      </c>
    </row>
    <row r="18" spans="1:21" s="26" customFormat="1" ht="28.8" x14ac:dyDescent="0.3">
      <c r="A18" s="64">
        <v>50</v>
      </c>
      <c r="B18" s="64" t="str">
        <v xml:space="preserve">Flanged Bushing ( OD- 40 X ID - 30) </v>
      </c>
      <c r="C18" s="64">
        <v>10284294</v>
      </c>
      <c r="D18" s="64">
        <v>112507008</v>
      </c>
      <c r="E18" s="64">
        <v>2761</v>
      </c>
      <c r="F18" s="64">
        <v>2</v>
      </c>
      <c r="G18" s="64">
        <v>18</v>
      </c>
      <c r="H18" s="64">
        <v>8</v>
      </c>
      <c r="I18" s="64">
        <v>0</v>
      </c>
      <c r="J18" s="64">
        <v>0</v>
      </c>
      <c r="K18" s="64">
        <v>0</v>
      </c>
      <c r="L18" s="64">
        <v>0</v>
      </c>
      <c r="M18" s="64">
        <v>0</v>
      </c>
      <c r="N18" s="64" t="str">
        <v>-</v>
      </c>
      <c r="O18" s="65" t="str">
        <v>-</v>
      </c>
      <c r="P18" s="48"/>
      <c r="Q18" s="33"/>
      <c r="R18" s="46"/>
      <c r="S18" s="51"/>
      <c r="T18" s="33"/>
      <c r="U18" s="47"/>
    </row>
    <row r="19" spans="1:21" s="26" customFormat="1" ht="28.8" x14ac:dyDescent="0.3">
      <c r="A19" s="64">
        <v>196</v>
      </c>
      <c r="B19" s="64" t="str">
        <v>Static delivery guide           [ Ø 63 ]</v>
      </c>
      <c r="C19" s="64">
        <v>10380085</v>
      </c>
      <c r="D19" s="64">
        <v>112500409</v>
      </c>
      <c r="E19" s="64">
        <v>14800</v>
      </c>
      <c r="F19" s="64">
        <v>2</v>
      </c>
      <c r="G19" s="64">
        <v>12</v>
      </c>
      <c r="H19" s="64">
        <v>4</v>
      </c>
      <c r="I19" s="64">
        <v>4</v>
      </c>
      <c r="J19" s="64">
        <v>2</v>
      </c>
      <c r="K19" s="64">
        <v>2</v>
      </c>
      <c r="L19" s="64">
        <v>50</v>
      </c>
      <c r="M19" s="64">
        <v>29600</v>
      </c>
      <c r="N19" s="64">
        <v>7</v>
      </c>
      <c r="O19" s="65" t="str">
        <v>Friction delivery</v>
      </c>
      <c r="P19" s="48"/>
      <c r="Q19" s="33"/>
      <c r="R19" s="46"/>
      <c r="S19" s="51"/>
      <c r="T19" s="33"/>
      <c r="U19" s="47"/>
    </row>
    <row r="20" spans="1:21" s="26" customFormat="1" x14ac:dyDescent="0.3">
      <c r="A20" s="64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5"/>
      <c r="P20" s="48"/>
      <c r="Q20" s="33"/>
      <c r="R20" s="46"/>
      <c r="S20" s="51"/>
      <c r="T20" s="33"/>
      <c r="U20" s="47"/>
    </row>
    <row r="21" spans="1:21" s="26" customFormat="1" x14ac:dyDescent="0.3">
      <c r="A21" s="64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5"/>
      <c r="P21" s="48"/>
      <c r="Q21" s="33"/>
      <c r="R21" s="46"/>
      <c r="S21" s="51"/>
      <c r="T21" s="33"/>
      <c r="U21" s="47"/>
    </row>
    <row r="22" spans="1:21" s="26" customFormat="1" x14ac:dyDescent="0.3">
      <c r="A22" s="64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5"/>
      <c r="P22" s="48"/>
      <c r="Q22" s="33"/>
      <c r="R22" s="46"/>
      <c r="S22" s="51"/>
      <c r="T22" s="33"/>
      <c r="U22" s="47"/>
    </row>
    <row r="23" spans="1:21" s="26" customFormat="1" x14ac:dyDescent="0.3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5"/>
      <c r="P23" s="48"/>
      <c r="Q23" s="33"/>
      <c r="R23" s="46"/>
      <c r="S23" s="51"/>
      <c r="T23" s="33"/>
      <c r="U23" s="47"/>
    </row>
    <row r="24" spans="1:21" s="26" customFormat="1" x14ac:dyDescent="0.3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5"/>
      <c r="P24" s="48"/>
      <c r="Q24" s="33"/>
      <c r="R24" s="46"/>
      <c r="S24" s="51"/>
      <c r="T24" s="33"/>
      <c r="U24" s="47"/>
    </row>
    <row r="25" spans="1:21" s="26" customFormat="1" x14ac:dyDescent="0.3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5"/>
      <c r="P25" s="48"/>
      <c r="Q25" s="33"/>
      <c r="R25" s="46"/>
      <c r="S25" s="51"/>
      <c r="T25" s="33"/>
      <c r="U25" s="47"/>
    </row>
    <row r="26" spans="1:21" s="26" customFormat="1" x14ac:dyDescent="0.3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5"/>
      <c r="P26" s="48"/>
      <c r="Q26" s="33"/>
      <c r="R26" s="46"/>
      <c r="S26" s="51"/>
      <c r="T26" s="33"/>
      <c r="U26" s="47"/>
    </row>
    <row r="27" spans="1:21" s="26" customFormat="1" x14ac:dyDescent="0.3">
      <c r="A27" s="64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5"/>
      <c r="P27" s="48"/>
      <c r="Q27" s="33"/>
      <c r="R27" s="46"/>
      <c r="S27" s="51"/>
      <c r="T27" s="33"/>
      <c r="U27" s="47"/>
    </row>
    <row r="28" spans="1:21" s="26" customFormat="1" x14ac:dyDescent="0.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5"/>
      <c r="P28" s="48"/>
      <c r="Q28" s="33"/>
      <c r="R28" s="46"/>
      <c r="S28" s="51"/>
      <c r="T28" s="33"/>
      <c r="U28" s="47"/>
    </row>
    <row r="29" spans="1:21" s="26" customFormat="1" x14ac:dyDescent="0.3">
      <c r="A29" s="64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5"/>
      <c r="P29" s="48"/>
      <c r="Q29" s="33"/>
      <c r="R29" s="46"/>
      <c r="S29" s="51"/>
      <c r="T29" s="33"/>
      <c r="U29" s="47"/>
    </row>
    <row r="30" spans="1:21" s="26" customFormat="1" x14ac:dyDescent="0.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5"/>
      <c r="P30" s="48"/>
      <c r="Q30" s="33"/>
      <c r="R30" s="46"/>
      <c r="S30" s="51"/>
      <c r="T30" s="33"/>
      <c r="U30" s="47"/>
    </row>
    <row r="31" spans="1:21" s="26" customFormat="1" x14ac:dyDescent="0.3">
      <c r="A31" s="64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5"/>
      <c r="P31" s="48"/>
      <c r="Q31" s="33"/>
      <c r="R31" s="46"/>
      <c r="S31" s="51"/>
      <c r="T31" s="33"/>
      <c r="U31" s="47"/>
    </row>
    <row r="32" spans="1:21" s="26" customFormat="1" x14ac:dyDescent="0.3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5"/>
      <c r="P32" s="48"/>
      <c r="Q32" s="33"/>
      <c r="R32" s="46"/>
      <c r="S32" s="51"/>
      <c r="T32" s="33"/>
      <c r="U32" s="47"/>
    </row>
    <row r="33" spans="1:21" s="26" customFormat="1" x14ac:dyDescent="0.3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5"/>
      <c r="P33" s="48"/>
      <c r="Q33" s="33"/>
      <c r="R33" s="46"/>
      <c r="S33" s="51"/>
      <c r="T33" s="33"/>
      <c r="U33" s="47"/>
    </row>
    <row r="34" spans="1:21" s="26" customFormat="1" x14ac:dyDescent="0.3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5"/>
      <c r="P34" s="48"/>
      <c r="Q34" s="33"/>
      <c r="R34" s="46"/>
      <c r="S34" s="51"/>
      <c r="T34" s="33"/>
      <c r="U34" s="47"/>
    </row>
    <row r="35" spans="1:21" s="26" customFormat="1" x14ac:dyDescent="0.3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5"/>
      <c r="P35" s="48"/>
      <c r="Q35" s="33"/>
      <c r="R35" s="46"/>
      <c r="S35" s="51"/>
      <c r="T35" s="33"/>
      <c r="U35" s="47"/>
    </row>
    <row r="36" spans="1:21" s="26" customFormat="1" x14ac:dyDescent="0.3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5"/>
      <c r="P36" s="48"/>
      <c r="Q36" s="33"/>
      <c r="R36" s="46"/>
      <c r="S36" s="51"/>
      <c r="T36" s="33"/>
      <c r="U36" s="47"/>
    </row>
    <row r="37" spans="1:21" s="26" customFormat="1" x14ac:dyDescent="0.3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5"/>
      <c r="P37" s="48"/>
      <c r="Q37" s="33"/>
      <c r="R37" s="46"/>
      <c r="S37" s="51"/>
      <c r="T37" s="33"/>
      <c r="U37" s="47"/>
    </row>
    <row r="38" spans="1:21" s="26" customFormat="1" x14ac:dyDescent="0.3">
      <c r="A38" s="64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5"/>
      <c r="P38" s="48"/>
      <c r="Q38" s="33"/>
      <c r="R38" s="46"/>
      <c r="S38" s="51"/>
      <c r="T38" s="33"/>
      <c r="U38" s="47"/>
    </row>
    <row r="39" spans="1:21" s="26" customFormat="1" x14ac:dyDescent="0.3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5"/>
      <c r="P39" s="48"/>
      <c r="Q39" s="33"/>
      <c r="R39" s="46"/>
      <c r="S39" s="51"/>
      <c r="T39" s="33"/>
      <c r="U39" s="47"/>
    </row>
    <row r="40" spans="1:21" s="26" customFormat="1" x14ac:dyDescent="0.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5"/>
      <c r="P40" s="48"/>
      <c r="Q40" s="33"/>
      <c r="R40" s="46"/>
      <c r="S40" s="51"/>
      <c r="T40" s="33"/>
      <c r="U40" s="47"/>
    </row>
    <row r="41" spans="1:21" s="26" customFormat="1" x14ac:dyDescent="0.3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5"/>
      <c r="P41" s="48"/>
      <c r="Q41" s="33"/>
      <c r="R41" s="46"/>
      <c r="S41" s="51"/>
      <c r="T41" s="33"/>
      <c r="U41" s="47"/>
    </row>
    <row r="42" spans="1:21" s="26" customFormat="1" x14ac:dyDescent="0.3">
      <c r="A42" s="64"/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5"/>
      <c r="P42" s="48"/>
      <c r="Q42" s="33"/>
      <c r="R42" s="46"/>
      <c r="S42" s="51"/>
      <c r="T42" s="33"/>
      <c r="U42" s="47"/>
    </row>
    <row r="43" spans="1:21" s="26" customFormat="1" x14ac:dyDescent="0.3">
      <c r="A43" s="64"/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5"/>
      <c r="P43" s="48"/>
      <c r="Q43" s="33"/>
      <c r="R43" s="46"/>
      <c r="S43" s="51"/>
      <c r="T43" s="33"/>
      <c r="U43" s="47"/>
    </row>
    <row r="44" spans="1:21" s="26" customFormat="1" x14ac:dyDescent="0.3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5"/>
      <c r="P44" s="48"/>
      <c r="Q44" s="33"/>
      <c r="R44" s="46"/>
      <c r="S44" s="51"/>
      <c r="T44" s="33"/>
      <c r="U44" s="47"/>
    </row>
    <row r="45" spans="1:21" s="26" customFormat="1" x14ac:dyDescent="0.3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5"/>
      <c r="P45" s="48"/>
      <c r="Q45" s="33"/>
      <c r="R45" s="46"/>
      <c r="S45" s="51"/>
      <c r="T45" s="33"/>
      <c r="U45" s="47"/>
    </row>
    <row r="46" spans="1:21" s="26" customFormat="1" x14ac:dyDescent="0.3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5"/>
      <c r="P46" s="48"/>
      <c r="Q46" s="33"/>
      <c r="R46" s="46"/>
      <c r="S46" s="51"/>
      <c r="T46" s="33"/>
      <c r="U46" s="47"/>
    </row>
    <row r="47" spans="1:21" s="26" customFormat="1" x14ac:dyDescent="0.3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5"/>
      <c r="P47" s="48"/>
      <c r="Q47" s="33"/>
      <c r="R47" s="46"/>
      <c r="S47" s="51"/>
      <c r="T47" s="33"/>
      <c r="U47" s="47"/>
    </row>
    <row r="48" spans="1:21" s="26" customFormat="1" x14ac:dyDescent="0.3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5"/>
      <c r="P48" s="48"/>
      <c r="Q48" s="33"/>
      <c r="R48" s="46"/>
      <c r="S48" s="51"/>
      <c r="T48" s="33"/>
      <c r="U48" s="47"/>
    </row>
    <row r="49" spans="1:21" s="26" customFormat="1" x14ac:dyDescent="0.3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5"/>
      <c r="P49" s="48"/>
      <c r="Q49" s="33"/>
      <c r="R49" s="46"/>
      <c r="S49" s="51"/>
      <c r="T49" s="33"/>
      <c r="U49" s="47"/>
    </row>
    <row r="50" spans="1:21" s="26" customFormat="1" x14ac:dyDescent="0.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5"/>
      <c r="P50" s="48"/>
      <c r="Q50" s="33"/>
      <c r="R50" s="46"/>
      <c r="S50" s="51"/>
      <c r="T50" s="33"/>
      <c r="U50" s="47"/>
    </row>
    <row r="51" spans="1:21" s="26" customFormat="1" x14ac:dyDescent="0.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5"/>
      <c r="P51" s="48"/>
      <c r="Q51" s="33"/>
      <c r="R51" s="46"/>
      <c r="S51" s="51"/>
      <c r="T51" s="33"/>
      <c r="U51" s="47"/>
    </row>
    <row r="52" spans="1:21" s="26" customFormat="1" x14ac:dyDescent="0.3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5"/>
      <c r="P52" s="48"/>
      <c r="Q52" s="33"/>
      <c r="R52" s="46"/>
      <c r="S52" s="51"/>
      <c r="T52" s="33"/>
      <c r="U52" s="47"/>
    </row>
    <row r="53" spans="1:21" s="26" customFormat="1" x14ac:dyDescent="0.3">
      <c r="A53" s="64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5"/>
      <c r="P53" s="48"/>
      <c r="Q53" s="33"/>
      <c r="R53" s="46"/>
      <c r="S53" s="51"/>
      <c r="T53" s="33"/>
      <c r="U53" s="47"/>
    </row>
    <row r="54" spans="1:21" s="26" customFormat="1" x14ac:dyDescent="0.3">
      <c r="A54" s="64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5"/>
      <c r="P54" s="48"/>
      <c r="Q54" s="33"/>
      <c r="R54" s="46"/>
      <c r="S54" s="51"/>
      <c r="T54" s="33"/>
      <c r="U54" s="47"/>
    </row>
    <row r="55" spans="1:21" s="26" customFormat="1" x14ac:dyDescent="0.3">
      <c r="A55" s="64"/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5"/>
      <c r="P55" s="48"/>
      <c r="Q55" s="33"/>
      <c r="R55" s="46"/>
      <c r="S55" s="51"/>
      <c r="T55" s="33"/>
      <c r="U55" s="47"/>
    </row>
    <row r="56" spans="1:21" s="26" customFormat="1" x14ac:dyDescent="0.3">
      <c r="A56" s="64"/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5"/>
      <c r="P56" s="48"/>
      <c r="Q56" s="33"/>
      <c r="R56" s="46"/>
      <c r="S56" s="51"/>
      <c r="T56" s="33"/>
      <c r="U56" s="47"/>
    </row>
    <row r="57" spans="1:21" s="26" customFormat="1" x14ac:dyDescent="0.3">
      <c r="A57" s="64"/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5"/>
      <c r="P57" s="48"/>
      <c r="Q57" s="33"/>
      <c r="R57" s="46"/>
      <c r="S57" s="51"/>
      <c r="T57" s="33"/>
      <c r="U57" s="47"/>
    </row>
    <row r="58" spans="1:21" s="26" customFormat="1" x14ac:dyDescent="0.3">
      <c r="A58" s="64"/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5"/>
      <c r="P58" s="48"/>
      <c r="Q58" s="33"/>
      <c r="R58" s="46"/>
      <c r="S58" s="51"/>
      <c r="T58" s="33"/>
      <c r="U58" s="47"/>
    </row>
    <row r="59" spans="1:21" s="26" customFormat="1" x14ac:dyDescent="0.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5"/>
      <c r="P59" s="48"/>
      <c r="Q59" s="33"/>
      <c r="R59" s="46"/>
      <c r="S59" s="51"/>
      <c r="T59" s="33"/>
      <c r="U59" s="47"/>
    </row>
    <row r="60" spans="1:21" s="26" customFormat="1" x14ac:dyDescent="0.3">
      <c r="A60" s="64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5"/>
      <c r="P60" s="48"/>
      <c r="Q60" s="33"/>
      <c r="R60" s="46"/>
      <c r="S60" s="51"/>
      <c r="T60" s="33"/>
      <c r="U60" s="47"/>
    </row>
    <row r="61" spans="1:21" s="26" customFormat="1" x14ac:dyDescent="0.3">
      <c r="A61" s="6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5"/>
      <c r="P61" s="48"/>
      <c r="Q61" s="33"/>
      <c r="R61" s="46"/>
      <c r="S61" s="51"/>
      <c r="T61" s="33"/>
      <c r="U61" s="47"/>
    </row>
    <row r="62" spans="1:21" s="26" customFormat="1" x14ac:dyDescent="0.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5"/>
      <c r="P62" s="48"/>
      <c r="Q62" s="33"/>
      <c r="R62" s="46"/>
      <c r="S62" s="51"/>
      <c r="T62" s="33"/>
      <c r="U62" s="47"/>
    </row>
    <row r="63" spans="1:21" s="26" customFormat="1" x14ac:dyDescent="0.3">
      <c r="A63" s="6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5"/>
      <c r="P63" s="48"/>
      <c r="Q63" s="33"/>
      <c r="R63" s="46"/>
      <c r="S63" s="51"/>
      <c r="T63" s="33"/>
      <c r="U63" s="47"/>
    </row>
    <row r="64" spans="1:21" s="26" customFormat="1" x14ac:dyDescent="0.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5"/>
      <c r="P64" s="48"/>
      <c r="Q64" s="33"/>
      <c r="R64" s="46"/>
      <c r="S64" s="51"/>
      <c r="T64" s="33"/>
      <c r="U64" s="47"/>
    </row>
    <row r="65" spans="1:21" s="26" customFormat="1" x14ac:dyDescent="0.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5"/>
      <c r="P65" s="48"/>
      <c r="Q65" s="33"/>
      <c r="R65" s="46"/>
      <c r="S65" s="51"/>
      <c r="T65" s="33"/>
      <c r="U65" s="47"/>
    </row>
    <row r="66" spans="1:21" s="26" customFormat="1" x14ac:dyDescent="0.3">
      <c r="A66" s="6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5"/>
      <c r="P66" s="48"/>
      <c r="Q66" s="33"/>
      <c r="R66" s="46"/>
      <c r="S66" s="51"/>
      <c r="T66" s="33"/>
      <c r="U66" s="47"/>
    </row>
    <row r="67" spans="1:21" s="26" customFormat="1" x14ac:dyDescent="0.3">
      <c r="A67" s="6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5"/>
      <c r="P67" s="48"/>
      <c r="Q67" s="33"/>
      <c r="R67" s="46"/>
      <c r="S67" s="51"/>
      <c r="T67" s="33"/>
      <c r="U67" s="47"/>
    </row>
    <row r="68" spans="1:21" s="26" customFormat="1" x14ac:dyDescent="0.3">
      <c r="A68" s="6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5"/>
      <c r="P68" s="48"/>
      <c r="Q68" s="33"/>
      <c r="R68" s="46"/>
      <c r="S68" s="51"/>
      <c r="T68" s="33"/>
      <c r="U68" s="47"/>
    </row>
    <row r="69" spans="1:21" s="26" customFormat="1" x14ac:dyDescent="0.3">
      <c r="A69" s="6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5"/>
      <c r="P69" s="48"/>
      <c r="Q69" s="33"/>
      <c r="R69" s="46"/>
      <c r="S69" s="51"/>
      <c r="T69" s="33"/>
      <c r="U69" s="47"/>
    </row>
    <row r="70" spans="1:21" s="26" customFormat="1" x14ac:dyDescent="0.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5"/>
      <c r="P70" s="48"/>
      <c r="Q70" s="33"/>
      <c r="R70" s="46"/>
      <c r="S70" s="51"/>
      <c r="T70" s="33"/>
      <c r="U70" s="47"/>
    </row>
    <row r="71" spans="1:21" s="26" customFormat="1" x14ac:dyDescent="0.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5"/>
      <c r="P71" s="48"/>
      <c r="Q71" s="33"/>
      <c r="R71" s="46"/>
      <c r="S71" s="51"/>
      <c r="T71" s="33"/>
      <c r="U71" s="47"/>
    </row>
    <row r="72" spans="1:21" s="26" customFormat="1" x14ac:dyDescent="0.3">
      <c r="A72" s="64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5"/>
      <c r="P72" s="48"/>
      <c r="Q72" s="33"/>
      <c r="R72" s="46"/>
      <c r="S72" s="51"/>
      <c r="T72" s="33"/>
      <c r="U72" s="47"/>
    </row>
    <row r="73" spans="1:21" s="26" customFormat="1" x14ac:dyDescent="0.3">
      <c r="A73" s="64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5"/>
      <c r="P73" s="48"/>
      <c r="Q73" s="33"/>
      <c r="R73" s="46"/>
      <c r="S73" s="51"/>
      <c r="T73" s="33"/>
      <c r="U73" s="47"/>
    </row>
    <row r="74" spans="1:21" s="26" customFormat="1" x14ac:dyDescent="0.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5"/>
      <c r="P74" s="48"/>
      <c r="Q74" s="33"/>
      <c r="R74" s="46"/>
      <c r="S74" s="51"/>
      <c r="T74" s="33"/>
      <c r="U74" s="47"/>
    </row>
    <row r="75" spans="1:21" s="26" customFormat="1" x14ac:dyDescent="0.3">
      <c r="A75" s="6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5"/>
      <c r="P75" s="48"/>
      <c r="Q75" s="33"/>
      <c r="R75" s="46"/>
      <c r="S75" s="51"/>
      <c r="T75" s="33"/>
      <c r="U75" s="47"/>
    </row>
    <row r="76" spans="1:21" s="26" customFormat="1" x14ac:dyDescent="0.3">
      <c r="A76" s="64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5"/>
      <c r="P76" s="48"/>
      <c r="Q76" s="33"/>
      <c r="R76" s="46"/>
      <c r="S76" s="51"/>
      <c r="T76" s="33"/>
      <c r="U76" s="47"/>
    </row>
    <row r="77" spans="1:21" s="26" customFormat="1" x14ac:dyDescent="0.3">
      <c r="A77" s="6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5"/>
      <c r="P77" s="48"/>
      <c r="Q77" s="33"/>
      <c r="R77" s="46"/>
      <c r="S77" s="51"/>
      <c r="T77" s="33"/>
      <c r="U77" s="47"/>
    </row>
    <row r="78" spans="1:21" s="26" customFormat="1" x14ac:dyDescent="0.3">
      <c r="A78" s="64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5"/>
      <c r="P78" s="48"/>
      <c r="Q78" s="33"/>
      <c r="R78" s="46"/>
      <c r="S78" s="51"/>
      <c r="T78" s="33"/>
      <c r="U78" s="47"/>
    </row>
    <row r="79" spans="1:21" s="26" customFormat="1" x14ac:dyDescent="0.3">
      <c r="A79" s="6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5"/>
      <c r="P79" s="48"/>
      <c r="Q79" s="33"/>
      <c r="R79" s="46"/>
      <c r="S79" s="51"/>
      <c r="T79" s="33"/>
      <c r="U79" s="47"/>
    </row>
    <row r="80" spans="1:21" s="26" customFormat="1" x14ac:dyDescent="0.3">
      <c r="A80" s="64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5"/>
      <c r="P80" s="48"/>
      <c r="Q80" s="33"/>
      <c r="R80" s="46"/>
      <c r="S80" s="51"/>
      <c r="T80" s="33"/>
      <c r="U80" s="47"/>
    </row>
    <row r="81" spans="1:21" s="26" customFormat="1" x14ac:dyDescent="0.3">
      <c r="A81" s="64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5"/>
      <c r="P81" s="48"/>
      <c r="Q81" s="33"/>
      <c r="R81" s="46"/>
      <c r="S81" s="51"/>
      <c r="T81" s="33"/>
      <c r="U81" s="47"/>
    </row>
    <row r="82" spans="1:21" s="26" customFormat="1" x14ac:dyDescent="0.3">
      <c r="A82" s="64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5"/>
      <c r="P82" s="48"/>
      <c r="Q82" s="33"/>
      <c r="R82" s="46"/>
      <c r="S82" s="51"/>
      <c r="T82" s="33"/>
      <c r="U82" s="47"/>
    </row>
    <row r="83" spans="1:21" s="26" customFormat="1" x14ac:dyDescent="0.3">
      <c r="A83" s="6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5"/>
      <c r="P83" s="48"/>
      <c r="Q83" s="33"/>
      <c r="R83" s="46"/>
      <c r="S83" s="51"/>
      <c r="T83" s="33"/>
      <c r="U83" s="47"/>
    </row>
    <row r="84" spans="1:21" s="26" customFormat="1" x14ac:dyDescent="0.3">
      <c r="A84" s="64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5"/>
      <c r="P84" s="48"/>
      <c r="Q84" s="33"/>
      <c r="R84" s="46"/>
      <c r="S84" s="51"/>
      <c r="T84" s="33"/>
      <c r="U84" s="47"/>
    </row>
    <row r="85" spans="1:21" s="26" customFormat="1" x14ac:dyDescent="0.3">
      <c r="A85" s="6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5"/>
      <c r="P85" s="48"/>
      <c r="Q85" s="33"/>
      <c r="R85" s="46"/>
      <c r="S85" s="51"/>
      <c r="T85" s="33"/>
      <c r="U85" s="47"/>
    </row>
    <row r="86" spans="1:21" s="26" customFormat="1" x14ac:dyDescent="0.3">
      <c r="A86" s="64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5"/>
      <c r="P86" s="48"/>
      <c r="Q86" s="33"/>
      <c r="R86" s="46"/>
      <c r="S86" s="51"/>
      <c r="T86" s="33"/>
      <c r="U86" s="47"/>
    </row>
    <row r="87" spans="1:21" s="26" customFormat="1" x14ac:dyDescent="0.3">
      <c r="A87" s="6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5"/>
      <c r="P87" s="48"/>
      <c r="Q87" s="33"/>
      <c r="R87" s="46"/>
      <c r="S87" s="51"/>
      <c r="T87" s="33"/>
      <c r="U87" s="47"/>
    </row>
    <row r="88" spans="1:21" s="26" customFormat="1" x14ac:dyDescent="0.3">
      <c r="A88" s="64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5"/>
      <c r="P88" s="48"/>
      <c r="Q88" s="33"/>
      <c r="R88" s="46"/>
      <c r="S88" s="51"/>
      <c r="T88" s="33"/>
      <c r="U88" s="47"/>
    </row>
    <row r="89" spans="1:21" s="26" customFormat="1" x14ac:dyDescent="0.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5"/>
      <c r="P89" s="48"/>
      <c r="Q89" s="33"/>
      <c r="R89" s="46"/>
      <c r="S89" s="51"/>
      <c r="T89" s="33"/>
      <c r="U89" s="47"/>
    </row>
    <row r="90" spans="1:21" s="26" customFormat="1" x14ac:dyDescent="0.3">
      <c r="A90" s="64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5"/>
      <c r="P90" s="48"/>
      <c r="Q90" s="33"/>
      <c r="R90" s="46"/>
      <c r="S90" s="51"/>
      <c r="T90" s="33"/>
      <c r="U90" s="47"/>
    </row>
    <row r="91" spans="1:21" s="26" customFormat="1" x14ac:dyDescent="0.3">
      <c r="A91" s="64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5"/>
      <c r="P91" s="48"/>
      <c r="Q91" s="33"/>
      <c r="R91" s="46"/>
      <c r="S91" s="51"/>
      <c r="T91" s="33"/>
      <c r="U91" s="47"/>
    </row>
    <row r="92" spans="1:21" s="26" customFormat="1" x14ac:dyDescent="0.3">
      <c r="A92" s="64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5"/>
      <c r="P92" s="48"/>
      <c r="Q92" s="33"/>
      <c r="R92" s="46"/>
      <c r="S92" s="51"/>
      <c r="T92" s="33"/>
      <c r="U92" s="47"/>
    </row>
    <row r="93" spans="1:21" s="26" customFormat="1" x14ac:dyDescent="0.3">
      <c r="A93" s="64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5"/>
      <c r="P93" s="48"/>
      <c r="Q93" s="33"/>
      <c r="R93" s="46"/>
      <c r="S93" s="51"/>
      <c r="T93" s="33"/>
      <c r="U93" s="47"/>
    </row>
    <row r="94" spans="1:21" s="26" customFormat="1" x14ac:dyDescent="0.3">
      <c r="A94" s="64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5"/>
      <c r="P94" s="48"/>
      <c r="Q94" s="33"/>
      <c r="R94" s="46"/>
      <c r="S94" s="51"/>
      <c r="T94" s="33"/>
      <c r="U94" s="47"/>
    </row>
    <row r="95" spans="1:21" s="26" customFormat="1" x14ac:dyDescent="0.3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5"/>
      <c r="P95" s="48"/>
      <c r="Q95" s="33"/>
      <c r="R95" s="46"/>
      <c r="S95" s="51"/>
      <c r="T95" s="33"/>
      <c r="U95" s="47"/>
    </row>
    <row r="96" spans="1:21" s="26" customFormat="1" x14ac:dyDescent="0.3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5"/>
      <c r="P96" s="48"/>
      <c r="Q96" s="33"/>
      <c r="R96" s="46"/>
      <c r="S96" s="51"/>
      <c r="T96" s="33"/>
      <c r="U96" s="47"/>
    </row>
    <row r="97" spans="1:21" s="26" customFormat="1" x14ac:dyDescent="0.3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5"/>
      <c r="P97" s="48"/>
      <c r="Q97" s="33"/>
      <c r="R97" s="46"/>
      <c r="S97" s="51"/>
      <c r="T97" s="33"/>
      <c r="U97" s="47"/>
    </row>
    <row r="98" spans="1:21" s="26" customFormat="1" x14ac:dyDescent="0.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5"/>
      <c r="P98" s="48"/>
      <c r="Q98" s="33"/>
      <c r="R98" s="46"/>
      <c r="S98" s="51"/>
      <c r="T98" s="33"/>
      <c r="U98" s="47"/>
    </row>
    <row r="99" spans="1:21" s="26" customFormat="1" x14ac:dyDescent="0.3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5"/>
      <c r="P99" s="48"/>
      <c r="Q99" s="33"/>
      <c r="R99" s="46"/>
      <c r="S99" s="51"/>
      <c r="T99" s="33"/>
      <c r="U99" s="47"/>
    </row>
    <row r="100" spans="1:21" s="26" customFormat="1" x14ac:dyDescent="0.3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5"/>
      <c r="P100" s="48"/>
      <c r="Q100" s="33"/>
      <c r="R100" s="46"/>
      <c r="S100" s="51"/>
      <c r="T100" s="33"/>
      <c r="U100" s="47"/>
    </row>
    <row r="101" spans="1:21" s="26" customFormat="1" x14ac:dyDescent="0.3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5"/>
      <c r="P101" s="48"/>
      <c r="Q101" s="33"/>
      <c r="R101" s="46"/>
      <c r="S101" s="51"/>
      <c r="T101" s="33"/>
      <c r="U101" s="47"/>
    </row>
    <row r="102" spans="1:21" s="26" customFormat="1" x14ac:dyDescent="0.3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5"/>
      <c r="P102" s="48"/>
      <c r="Q102" s="33"/>
      <c r="R102" s="46"/>
      <c r="S102" s="51"/>
      <c r="T102" s="33"/>
      <c r="U102" s="47"/>
    </row>
    <row r="103" spans="1:21" s="26" customFormat="1" x14ac:dyDescent="0.3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5"/>
      <c r="P103" s="48"/>
      <c r="Q103" s="33"/>
      <c r="R103" s="46"/>
      <c r="S103" s="51"/>
      <c r="T103" s="33"/>
      <c r="U103" s="47"/>
    </row>
    <row r="104" spans="1:21" s="26" customFormat="1" x14ac:dyDescent="0.3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5"/>
      <c r="P104" s="48"/>
      <c r="Q104" s="33"/>
      <c r="R104" s="46"/>
      <c r="S104" s="51"/>
      <c r="T104" s="33"/>
      <c r="U104" s="47"/>
    </row>
    <row r="105" spans="1:21" s="26" customFormat="1" x14ac:dyDescent="0.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5"/>
      <c r="P105" s="48"/>
      <c r="Q105" s="33"/>
      <c r="R105" s="46"/>
      <c r="S105" s="51"/>
      <c r="T105" s="33"/>
      <c r="U105" s="47"/>
    </row>
    <row r="106" spans="1:21" s="26" customFormat="1" x14ac:dyDescent="0.3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5"/>
      <c r="P106" s="48"/>
      <c r="Q106" s="33"/>
      <c r="R106" s="46"/>
      <c r="S106" s="51"/>
      <c r="T106" s="33"/>
      <c r="U106" s="47"/>
    </row>
    <row r="107" spans="1:21" s="26" customFormat="1" x14ac:dyDescent="0.3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5"/>
      <c r="P107" s="48"/>
      <c r="Q107" s="33"/>
      <c r="R107" s="46"/>
      <c r="S107" s="51"/>
      <c r="T107" s="33"/>
      <c r="U107" s="47"/>
    </row>
    <row r="108" spans="1:21" s="26" customFormat="1" x14ac:dyDescent="0.3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5"/>
      <c r="P108" s="48"/>
      <c r="Q108" s="33"/>
      <c r="R108" s="46"/>
      <c r="S108" s="51"/>
      <c r="T108" s="33"/>
      <c r="U108" s="47"/>
    </row>
    <row r="109" spans="1:21" s="26" customFormat="1" x14ac:dyDescent="0.3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5"/>
      <c r="P109" s="48"/>
      <c r="Q109" s="33"/>
      <c r="R109" s="46"/>
      <c r="S109" s="51"/>
      <c r="T109" s="33"/>
      <c r="U109" s="47"/>
    </row>
    <row r="110" spans="1:21" s="26" customFormat="1" x14ac:dyDescent="0.3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5"/>
      <c r="P110" s="48"/>
      <c r="Q110" s="33"/>
      <c r="R110" s="46"/>
      <c r="S110" s="51"/>
      <c r="T110" s="33"/>
      <c r="U110" s="47"/>
    </row>
    <row r="111" spans="1:21" s="26" customFormat="1" x14ac:dyDescent="0.3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5"/>
      <c r="P111" s="48"/>
      <c r="Q111" s="33"/>
      <c r="R111" s="46"/>
      <c r="S111" s="51"/>
      <c r="T111" s="33"/>
      <c r="U111" s="47"/>
    </row>
    <row r="112" spans="1:21" s="26" customFormat="1" x14ac:dyDescent="0.3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5"/>
      <c r="P112" s="48"/>
      <c r="Q112" s="33"/>
      <c r="R112" s="46"/>
      <c r="S112" s="51"/>
      <c r="T112" s="33"/>
      <c r="U112" s="47"/>
    </row>
    <row r="113" spans="1:21" s="26" customFormat="1" x14ac:dyDescent="0.3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5"/>
      <c r="P113" s="48"/>
      <c r="Q113" s="33"/>
      <c r="R113" s="46"/>
      <c r="S113" s="51"/>
      <c r="T113" s="33"/>
      <c r="U113" s="47"/>
    </row>
    <row r="114" spans="1:21" s="26" customFormat="1" x14ac:dyDescent="0.3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5"/>
      <c r="P114" s="48"/>
      <c r="Q114" s="33"/>
      <c r="R114" s="46"/>
      <c r="S114" s="51"/>
      <c r="T114" s="33"/>
      <c r="U114" s="47"/>
    </row>
    <row r="115" spans="1:21" s="26" customFormat="1" x14ac:dyDescent="0.3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5"/>
      <c r="P115" s="48"/>
      <c r="Q115" s="33"/>
      <c r="R115" s="46"/>
      <c r="S115" s="51"/>
      <c r="T115" s="33"/>
      <c r="U115" s="47"/>
    </row>
    <row r="116" spans="1:21" s="26" customFormat="1" x14ac:dyDescent="0.3">
      <c r="A116" s="64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5"/>
      <c r="P116" s="48"/>
      <c r="Q116" s="33"/>
      <c r="R116" s="46"/>
      <c r="S116" s="51"/>
      <c r="T116" s="33"/>
      <c r="U116" s="47"/>
    </row>
    <row r="117" spans="1:21" s="26" customFormat="1" x14ac:dyDescent="0.3">
      <c r="A117" s="64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5"/>
      <c r="P117" s="48"/>
      <c r="Q117" s="33"/>
      <c r="R117" s="46"/>
      <c r="S117" s="51"/>
      <c r="T117" s="33"/>
      <c r="U117" s="47"/>
    </row>
    <row r="118" spans="1:21" s="26" customFormat="1" x14ac:dyDescent="0.3">
      <c r="A118" s="64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5"/>
      <c r="P118" s="48"/>
      <c r="Q118" s="33"/>
      <c r="R118" s="46"/>
      <c r="S118" s="51"/>
      <c r="T118" s="33"/>
      <c r="U118" s="47"/>
    </row>
    <row r="119" spans="1:21" s="26" customFormat="1" x14ac:dyDescent="0.3">
      <c r="A119" s="64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5"/>
      <c r="P119" s="48"/>
      <c r="Q119" s="33"/>
      <c r="R119" s="46"/>
      <c r="S119" s="51"/>
      <c r="T119" s="33"/>
      <c r="U119" s="47"/>
    </row>
    <row r="120" spans="1:21" s="26" customFormat="1" x14ac:dyDescent="0.3">
      <c r="A120" s="64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5"/>
      <c r="P120" s="48"/>
      <c r="Q120" s="33"/>
      <c r="R120" s="46"/>
      <c r="S120" s="51"/>
      <c r="T120" s="33"/>
      <c r="U120" s="47"/>
    </row>
    <row r="121" spans="1:21" s="26" customFormat="1" x14ac:dyDescent="0.3">
      <c r="A121" s="64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5"/>
      <c r="P121" s="48"/>
      <c r="Q121" s="33"/>
      <c r="R121" s="46"/>
      <c r="S121" s="51"/>
      <c r="T121" s="33"/>
      <c r="U121" s="47"/>
    </row>
    <row r="122" spans="1:21" s="26" customFormat="1" x14ac:dyDescent="0.3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5"/>
      <c r="P122" s="48"/>
      <c r="Q122" s="33"/>
      <c r="R122" s="46"/>
      <c r="S122" s="51"/>
      <c r="T122" s="33"/>
      <c r="U122" s="47"/>
    </row>
    <row r="123" spans="1:21" s="26" customFormat="1" x14ac:dyDescent="0.3">
      <c r="A123" s="64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5"/>
      <c r="P123" s="48"/>
      <c r="Q123" s="33"/>
      <c r="R123" s="46"/>
      <c r="S123" s="51"/>
      <c r="T123" s="33"/>
      <c r="U123" s="47"/>
    </row>
    <row r="124" spans="1:21" s="26" customFormat="1" x14ac:dyDescent="0.3">
      <c r="A124" s="64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5"/>
      <c r="P124" s="48"/>
      <c r="Q124" s="33"/>
      <c r="R124" s="46"/>
      <c r="S124" s="51"/>
      <c r="T124" s="33"/>
      <c r="U124" s="47"/>
    </row>
    <row r="125" spans="1:21" s="26" customFormat="1" x14ac:dyDescent="0.3">
      <c r="A125" s="64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5"/>
      <c r="P125" s="48"/>
      <c r="Q125" s="33"/>
      <c r="R125" s="46"/>
      <c r="S125" s="51"/>
      <c r="T125" s="33"/>
      <c r="U125" s="47"/>
    </row>
    <row r="126" spans="1:21" s="26" customFormat="1" x14ac:dyDescent="0.3">
      <c r="A126" s="64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5"/>
      <c r="P126" s="48"/>
      <c r="Q126" s="33"/>
      <c r="R126" s="46"/>
      <c r="S126" s="51"/>
      <c r="T126" s="33"/>
      <c r="U126" s="47"/>
    </row>
    <row r="127" spans="1:21" s="26" customFormat="1" x14ac:dyDescent="0.3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5"/>
      <c r="P127" s="48"/>
      <c r="Q127" s="33"/>
      <c r="R127" s="46"/>
      <c r="S127" s="51"/>
      <c r="T127" s="33"/>
      <c r="U127" s="47"/>
    </row>
    <row r="128" spans="1:21" s="26" customFormat="1" x14ac:dyDescent="0.3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5"/>
      <c r="P128" s="48"/>
      <c r="Q128" s="33"/>
      <c r="R128" s="46"/>
      <c r="S128" s="51"/>
      <c r="T128" s="33"/>
      <c r="U128" s="47"/>
    </row>
    <row r="129" spans="1:21" s="26" customFormat="1" x14ac:dyDescent="0.3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5"/>
      <c r="P129" s="48"/>
      <c r="Q129" s="33"/>
      <c r="R129" s="46"/>
      <c r="S129" s="51"/>
      <c r="T129" s="33"/>
      <c r="U129" s="47"/>
    </row>
    <row r="130" spans="1:21" s="26" customFormat="1" x14ac:dyDescent="0.3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5"/>
      <c r="P130" s="48"/>
      <c r="Q130" s="33"/>
      <c r="R130" s="46"/>
      <c r="S130" s="51"/>
      <c r="T130" s="33"/>
      <c r="U130" s="47"/>
    </row>
    <row r="131" spans="1:21" s="26" customFormat="1" x14ac:dyDescent="0.3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5"/>
      <c r="P131" s="48"/>
      <c r="Q131" s="33"/>
      <c r="R131" s="46"/>
      <c r="S131" s="51"/>
      <c r="T131" s="33"/>
      <c r="U131" s="47"/>
    </row>
    <row r="132" spans="1:21" s="26" customFormat="1" x14ac:dyDescent="0.3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5"/>
      <c r="P132" s="48"/>
      <c r="Q132" s="33"/>
      <c r="R132" s="46"/>
      <c r="S132" s="51"/>
      <c r="T132" s="33"/>
      <c r="U132" s="47"/>
    </row>
    <row r="133" spans="1:21" s="26" customFormat="1" x14ac:dyDescent="0.3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5"/>
      <c r="P133" s="48"/>
      <c r="Q133" s="33"/>
      <c r="R133" s="46"/>
      <c r="S133" s="51"/>
      <c r="T133" s="33"/>
      <c r="U133" s="47"/>
    </row>
    <row r="134" spans="1:21" s="26" customFormat="1" x14ac:dyDescent="0.3">
      <c r="A134" s="64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5"/>
      <c r="P134" s="48"/>
      <c r="Q134" s="33"/>
      <c r="R134" s="46"/>
      <c r="S134" s="51"/>
      <c r="T134" s="33"/>
      <c r="U134" s="47"/>
    </row>
    <row r="135" spans="1:21" s="26" customFormat="1" x14ac:dyDescent="0.3">
      <c r="A135" s="64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5"/>
      <c r="P135" s="48"/>
      <c r="Q135" s="33"/>
      <c r="R135" s="46"/>
      <c r="S135" s="51"/>
      <c r="T135" s="33"/>
      <c r="U135" s="47"/>
    </row>
    <row r="136" spans="1:21" s="26" customFormat="1" x14ac:dyDescent="0.3">
      <c r="A136" s="64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5"/>
      <c r="P136" s="48"/>
      <c r="Q136" s="33"/>
      <c r="R136" s="46"/>
      <c r="S136" s="51"/>
      <c r="T136" s="33"/>
      <c r="U136" s="47"/>
    </row>
    <row r="137" spans="1:21" s="26" customFormat="1" x14ac:dyDescent="0.3">
      <c r="A137" s="64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5"/>
      <c r="P137" s="48"/>
      <c r="Q137" s="33"/>
      <c r="R137" s="46"/>
      <c r="S137" s="51"/>
      <c r="T137" s="33"/>
      <c r="U137" s="47"/>
    </row>
    <row r="138" spans="1:21" s="26" customFormat="1" x14ac:dyDescent="0.3">
      <c r="A138" s="64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5"/>
      <c r="P138" s="48"/>
      <c r="Q138" s="33"/>
      <c r="R138" s="46"/>
      <c r="S138" s="51"/>
      <c r="T138" s="33"/>
      <c r="U138" s="47"/>
    </row>
    <row r="139" spans="1:21" s="26" customFormat="1" x14ac:dyDescent="0.3">
      <c r="A139" s="64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5"/>
      <c r="P139" s="48"/>
      <c r="Q139" s="33"/>
      <c r="R139" s="46"/>
      <c r="S139" s="51"/>
      <c r="T139" s="33"/>
      <c r="U139" s="47"/>
    </row>
    <row r="140" spans="1:21" s="26" customFormat="1" x14ac:dyDescent="0.3">
      <c r="A140" s="64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5"/>
      <c r="P140" s="48"/>
      <c r="Q140" s="33"/>
      <c r="R140" s="46"/>
      <c r="S140" s="51"/>
      <c r="T140" s="33"/>
      <c r="U140" s="47"/>
    </row>
    <row r="141" spans="1:21" s="26" customFormat="1" x14ac:dyDescent="0.3">
      <c r="A141" s="64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5"/>
      <c r="P141" s="48"/>
      <c r="Q141" s="33"/>
      <c r="R141" s="46"/>
      <c r="S141" s="51"/>
      <c r="T141" s="33"/>
      <c r="U141" s="47"/>
    </row>
    <row r="142" spans="1:21" s="26" customFormat="1" x14ac:dyDescent="0.3">
      <c r="A142" s="64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5"/>
      <c r="P142" s="48"/>
      <c r="Q142" s="33"/>
      <c r="R142" s="46"/>
      <c r="S142" s="51"/>
      <c r="T142" s="33"/>
      <c r="U142" s="47"/>
    </row>
    <row r="143" spans="1:21" s="26" customFormat="1" x14ac:dyDescent="0.3">
      <c r="A143" s="64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5"/>
      <c r="P143" s="48"/>
      <c r="Q143" s="33"/>
      <c r="R143" s="46"/>
      <c r="S143" s="51"/>
      <c r="T143" s="33"/>
      <c r="U143" s="47"/>
    </row>
    <row r="144" spans="1:21" s="26" customFormat="1" x14ac:dyDescent="0.3">
      <c r="A144" s="64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5"/>
      <c r="P144" s="48"/>
      <c r="Q144" s="33"/>
      <c r="R144" s="46"/>
      <c r="S144" s="51"/>
      <c r="T144" s="33"/>
      <c r="U144" s="47"/>
    </row>
    <row r="145" spans="1:21" s="26" customFormat="1" x14ac:dyDescent="0.3">
      <c r="A145" s="64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5"/>
      <c r="P145" s="48"/>
      <c r="Q145" s="33"/>
      <c r="R145" s="46"/>
      <c r="S145" s="51"/>
      <c r="T145" s="33"/>
      <c r="U145" s="47"/>
    </row>
    <row r="146" spans="1:21" s="26" customFormat="1" x14ac:dyDescent="0.3">
      <c r="A146" s="64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5"/>
      <c r="P146" s="48"/>
      <c r="Q146" s="33"/>
      <c r="R146" s="46"/>
      <c r="S146" s="51"/>
      <c r="T146" s="33"/>
      <c r="U146" s="47"/>
    </row>
    <row r="147" spans="1:21" s="26" customFormat="1" x14ac:dyDescent="0.3">
      <c r="A147" s="64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5"/>
      <c r="P147" s="48"/>
      <c r="Q147" s="33"/>
      <c r="R147" s="46"/>
      <c r="S147" s="51"/>
      <c r="T147" s="33"/>
      <c r="U147" s="47"/>
    </row>
    <row r="148" spans="1:21" s="26" customFormat="1" x14ac:dyDescent="0.3">
      <c r="A148" s="64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5"/>
      <c r="P148" s="48"/>
      <c r="Q148" s="33"/>
      <c r="R148" s="46"/>
      <c r="S148" s="51"/>
      <c r="T148" s="33"/>
      <c r="U148" s="47"/>
    </row>
    <row r="149" spans="1:21" s="26" customFormat="1" x14ac:dyDescent="0.3">
      <c r="A149" s="64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5"/>
      <c r="P149" s="48"/>
      <c r="Q149" s="33"/>
      <c r="R149" s="46"/>
      <c r="S149" s="51"/>
      <c r="T149" s="33"/>
      <c r="U149" s="47"/>
    </row>
    <row r="150" spans="1:21" s="26" customFormat="1" x14ac:dyDescent="0.3">
      <c r="A150" s="64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5"/>
      <c r="P150" s="48"/>
      <c r="Q150" s="33"/>
      <c r="R150" s="46"/>
      <c r="S150" s="51"/>
      <c r="T150" s="33"/>
      <c r="U150" s="47"/>
    </row>
    <row r="151" spans="1:21" s="26" customFormat="1" x14ac:dyDescent="0.3">
      <c r="A151" s="64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5"/>
      <c r="P151" s="48"/>
      <c r="Q151" s="33"/>
      <c r="R151" s="46"/>
      <c r="S151" s="51"/>
      <c r="T151" s="33"/>
      <c r="U151" s="47"/>
    </row>
    <row r="152" spans="1:21" s="26" customFormat="1" x14ac:dyDescent="0.3">
      <c r="A152" s="64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5"/>
      <c r="P152" s="48"/>
      <c r="Q152" s="33"/>
      <c r="R152" s="46"/>
      <c r="S152" s="51"/>
      <c r="T152" s="33"/>
      <c r="U152" s="47"/>
    </row>
    <row r="153" spans="1:21" s="26" customFormat="1" x14ac:dyDescent="0.3">
      <c r="A153" s="64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5"/>
      <c r="P153" s="48"/>
      <c r="Q153" s="33"/>
      <c r="R153" s="46"/>
      <c r="S153" s="51"/>
      <c r="T153" s="33"/>
      <c r="U153" s="47"/>
    </row>
    <row r="154" spans="1:21" s="26" customFormat="1" x14ac:dyDescent="0.3">
      <c r="A154" s="64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5"/>
      <c r="P154" s="48"/>
      <c r="Q154" s="33"/>
      <c r="R154" s="46"/>
      <c r="S154" s="51"/>
      <c r="T154" s="33"/>
      <c r="U154" s="47"/>
    </row>
    <row r="155" spans="1:21" s="26" customFormat="1" x14ac:dyDescent="0.3">
      <c r="A155" s="64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5"/>
      <c r="P155" s="48"/>
      <c r="Q155" s="33"/>
      <c r="R155" s="46"/>
      <c r="S155" s="51"/>
      <c r="T155" s="33"/>
      <c r="U155" s="47"/>
    </row>
    <row r="156" spans="1:21" s="26" customFormat="1" x14ac:dyDescent="0.3">
      <c r="A156" s="64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5"/>
      <c r="P156" s="48"/>
      <c r="Q156" s="33"/>
      <c r="R156" s="46"/>
      <c r="S156" s="51"/>
      <c r="T156" s="33"/>
      <c r="U156" s="47"/>
    </row>
    <row r="157" spans="1:21" s="26" customFormat="1" x14ac:dyDescent="0.3">
      <c r="A157" s="64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5"/>
      <c r="P157" s="48"/>
      <c r="Q157" s="33"/>
      <c r="R157" s="46"/>
      <c r="S157" s="51"/>
      <c r="T157" s="33"/>
      <c r="U157" s="47"/>
    </row>
    <row r="158" spans="1:21" s="26" customFormat="1" x14ac:dyDescent="0.3">
      <c r="A158" s="64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5"/>
      <c r="P158" s="48"/>
      <c r="Q158" s="33"/>
      <c r="R158" s="46"/>
      <c r="S158" s="51"/>
      <c r="T158" s="33"/>
      <c r="U158" s="47"/>
    </row>
    <row r="159" spans="1:21" s="26" customFormat="1" x14ac:dyDescent="0.3">
      <c r="A159" s="64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5"/>
      <c r="P159" s="48"/>
      <c r="Q159" s="33"/>
      <c r="R159" s="46"/>
      <c r="S159" s="51"/>
      <c r="T159" s="33"/>
      <c r="U159" s="47"/>
    </row>
    <row r="160" spans="1:21" s="26" customFormat="1" x14ac:dyDescent="0.3">
      <c r="A160" s="64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5"/>
      <c r="P160" s="48"/>
      <c r="Q160" s="33"/>
      <c r="R160" s="46"/>
      <c r="S160" s="51"/>
      <c r="T160" s="33"/>
      <c r="U160" s="47"/>
    </row>
    <row r="161" spans="1:21" s="26" customFormat="1" x14ac:dyDescent="0.3">
      <c r="A161" s="64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5"/>
      <c r="P161" s="48"/>
      <c r="Q161" s="33"/>
      <c r="R161" s="46"/>
      <c r="S161" s="51"/>
      <c r="T161" s="33"/>
      <c r="U161" s="47"/>
    </row>
    <row r="162" spans="1:21" s="26" customFormat="1" x14ac:dyDescent="0.3">
      <c r="A162" s="64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5"/>
      <c r="P162" s="48"/>
      <c r="Q162" s="33"/>
      <c r="R162" s="46"/>
      <c r="S162" s="51"/>
      <c r="T162" s="33"/>
      <c r="U162" s="47"/>
    </row>
    <row r="163" spans="1:21" s="26" customFormat="1" x14ac:dyDescent="0.3">
      <c r="A163" s="64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5"/>
      <c r="P163" s="48"/>
      <c r="Q163" s="33"/>
      <c r="R163" s="46"/>
      <c r="S163" s="51"/>
      <c r="T163" s="33"/>
      <c r="U163" s="47"/>
    </row>
    <row r="164" spans="1:21" s="26" customFormat="1" x14ac:dyDescent="0.3">
      <c r="A164" s="64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5"/>
      <c r="P164" s="48"/>
      <c r="Q164" s="33"/>
      <c r="R164" s="46"/>
      <c r="S164" s="51"/>
      <c r="T164" s="33"/>
      <c r="U164" s="47"/>
    </row>
    <row r="165" spans="1:21" s="26" customFormat="1" x14ac:dyDescent="0.3">
      <c r="A165" s="64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5"/>
      <c r="P165" s="48"/>
      <c r="Q165" s="33"/>
      <c r="R165" s="46"/>
      <c r="S165" s="51"/>
      <c r="T165" s="33"/>
      <c r="U165" s="47"/>
    </row>
    <row r="166" spans="1:21" s="26" customFormat="1" x14ac:dyDescent="0.3">
      <c r="A166" s="64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5"/>
      <c r="P166" s="48"/>
      <c r="Q166" s="33"/>
      <c r="R166" s="46"/>
      <c r="S166" s="51"/>
      <c r="T166" s="33"/>
      <c r="U166" s="47"/>
    </row>
    <row r="167" spans="1:21" s="26" customFormat="1" x14ac:dyDescent="0.3">
      <c r="A167" s="64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5"/>
      <c r="P167" s="48"/>
      <c r="Q167" s="33"/>
      <c r="R167" s="46"/>
      <c r="S167" s="51"/>
      <c r="T167" s="33"/>
      <c r="U167" s="47"/>
    </row>
    <row r="168" spans="1:21" s="26" customFormat="1" x14ac:dyDescent="0.3">
      <c r="A168" s="64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5"/>
      <c r="P168" s="48"/>
      <c r="Q168" s="33"/>
      <c r="R168" s="46"/>
      <c r="S168" s="51"/>
      <c r="T168" s="33"/>
      <c r="U168" s="47"/>
    </row>
    <row r="169" spans="1:21" s="26" customFormat="1" x14ac:dyDescent="0.3">
      <c r="A169" s="64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5"/>
      <c r="P169" s="48"/>
      <c r="Q169" s="33"/>
      <c r="R169" s="46"/>
      <c r="S169" s="51"/>
      <c r="T169" s="33"/>
      <c r="U169" s="47"/>
    </row>
    <row r="170" spans="1:21" s="26" customFormat="1" x14ac:dyDescent="0.3">
      <c r="A170" s="64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5"/>
      <c r="P170" s="48"/>
      <c r="Q170" s="33"/>
      <c r="R170" s="46"/>
      <c r="S170" s="51"/>
      <c r="T170" s="33"/>
      <c r="U170" s="47"/>
    </row>
    <row r="171" spans="1:21" s="26" customFormat="1" x14ac:dyDescent="0.3">
      <c r="A171" s="64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5"/>
      <c r="P171" s="48"/>
      <c r="Q171" s="33"/>
      <c r="R171" s="46"/>
      <c r="S171" s="51"/>
      <c r="T171" s="33"/>
      <c r="U171" s="47"/>
    </row>
    <row r="172" spans="1:21" s="26" customFormat="1" x14ac:dyDescent="0.3">
      <c r="A172" s="64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5"/>
      <c r="P172" s="48"/>
      <c r="Q172" s="33"/>
      <c r="R172" s="46"/>
      <c r="S172" s="51"/>
      <c r="T172" s="33"/>
      <c r="U172" s="47"/>
    </row>
    <row r="173" spans="1:21" s="26" customFormat="1" x14ac:dyDescent="0.3">
      <c r="A173" s="64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5"/>
      <c r="P173" s="48"/>
      <c r="Q173" s="33"/>
      <c r="R173" s="46"/>
      <c r="S173" s="51"/>
      <c r="T173" s="33"/>
      <c r="U173" s="47"/>
    </row>
    <row r="174" spans="1:21" s="26" customFormat="1" x14ac:dyDescent="0.3">
      <c r="A174" s="64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5"/>
      <c r="P174" s="48"/>
      <c r="Q174" s="33"/>
      <c r="R174" s="46"/>
      <c r="S174" s="51"/>
      <c r="T174" s="33"/>
      <c r="U174" s="47"/>
    </row>
    <row r="175" spans="1:21" s="26" customFormat="1" x14ac:dyDescent="0.3">
      <c r="A175" s="64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5"/>
      <c r="P175" s="48"/>
      <c r="Q175" s="33"/>
      <c r="R175" s="46"/>
      <c r="S175" s="51"/>
      <c r="T175" s="33"/>
      <c r="U175" s="47"/>
    </row>
    <row r="176" spans="1:21" s="26" customFormat="1" x14ac:dyDescent="0.3">
      <c r="A176" s="64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5"/>
      <c r="P176" s="48"/>
      <c r="Q176" s="33"/>
      <c r="R176" s="46"/>
      <c r="S176" s="51"/>
      <c r="T176" s="33"/>
      <c r="U176" s="47"/>
    </row>
    <row r="177" spans="1:21" s="26" customFormat="1" x14ac:dyDescent="0.3">
      <c r="A177" s="64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5"/>
      <c r="P177" s="48"/>
      <c r="Q177" s="33"/>
      <c r="R177" s="46"/>
      <c r="S177" s="51"/>
      <c r="T177" s="33"/>
      <c r="U177" s="47"/>
    </row>
    <row r="178" spans="1:21" s="26" customFormat="1" x14ac:dyDescent="0.3">
      <c r="A178" s="64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5"/>
      <c r="P178" s="48"/>
      <c r="Q178" s="33"/>
      <c r="R178" s="46"/>
      <c r="S178" s="51"/>
      <c r="T178" s="33"/>
      <c r="U178" s="47"/>
    </row>
    <row r="179" spans="1:21" s="26" customFormat="1" x14ac:dyDescent="0.3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5"/>
      <c r="P179" s="48"/>
      <c r="Q179" s="33"/>
      <c r="R179" s="46"/>
      <c r="S179" s="51"/>
      <c r="T179" s="33"/>
      <c r="U179" s="47"/>
    </row>
    <row r="180" spans="1:21" s="26" customFormat="1" x14ac:dyDescent="0.3">
      <c r="A180" s="64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5"/>
      <c r="P180" s="48"/>
      <c r="Q180" s="33"/>
      <c r="R180" s="46"/>
      <c r="S180" s="51"/>
      <c r="T180" s="33"/>
      <c r="U180" s="47"/>
    </row>
    <row r="181" spans="1:21" s="26" customFormat="1" x14ac:dyDescent="0.3">
      <c r="A181" s="64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5"/>
      <c r="P181" s="48"/>
      <c r="Q181" s="33"/>
      <c r="R181" s="46"/>
      <c r="S181" s="51"/>
      <c r="T181" s="33"/>
      <c r="U181" s="47"/>
    </row>
    <row r="182" spans="1:21" s="26" customFormat="1" x14ac:dyDescent="0.3">
      <c r="A182" s="64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5"/>
      <c r="P182" s="48"/>
      <c r="Q182" s="33"/>
      <c r="R182" s="46"/>
      <c r="S182" s="51"/>
      <c r="T182" s="33"/>
      <c r="U182" s="47"/>
    </row>
    <row r="183" spans="1:21" s="26" customFormat="1" x14ac:dyDescent="0.3">
      <c r="A183" s="64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5"/>
      <c r="P183" s="48"/>
      <c r="Q183" s="33"/>
      <c r="R183" s="46"/>
      <c r="S183" s="51"/>
      <c r="T183" s="33"/>
      <c r="U183" s="47"/>
    </row>
    <row r="184" spans="1:21" s="26" customFormat="1" x14ac:dyDescent="0.3">
      <c r="A184" s="64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5"/>
      <c r="P184" s="48"/>
      <c r="Q184" s="33"/>
      <c r="R184" s="46"/>
      <c r="S184" s="51"/>
      <c r="T184" s="33"/>
      <c r="U184" s="47"/>
    </row>
    <row r="185" spans="1:21" s="26" customFormat="1" x14ac:dyDescent="0.3">
      <c r="A185" s="64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5"/>
      <c r="P185" s="48"/>
      <c r="Q185" s="33"/>
      <c r="R185" s="46"/>
      <c r="S185" s="51"/>
      <c r="T185" s="33"/>
      <c r="U185" s="47"/>
    </row>
    <row r="186" spans="1:21" s="26" customFormat="1" x14ac:dyDescent="0.3">
      <c r="A186" s="64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5"/>
      <c r="P186" s="48"/>
      <c r="Q186" s="33"/>
      <c r="R186" s="46"/>
      <c r="S186" s="51"/>
      <c r="T186" s="33"/>
      <c r="U186" s="47"/>
    </row>
    <row r="187" spans="1:21" s="26" customFormat="1" x14ac:dyDescent="0.3">
      <c r="A187" s="64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5"/>
      <c r="P187" s="48"/>
      <c r="Q187" s="33"/>
      <c r="R187" s="46"/>
      <c r="S187" s="51"/>
      <c r="T187" s="33"/>
      <c r="U187" s="47"/>
    </row>
    <row r="188" spans="1:21" s="26" customFormat="1" x14ac:dyDescent="0.3">
      <c r="A188" s="64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5"/>
      <c r="P188" s="48"/>
      <c r="Q188" s="33"/>
      <c r="R188" s="46"/>
      <c r="S188" s="51"/>
      <c r="T188" s="33"/>
      <c r="U188" s="47"/>
    </row>
    <row r="189" spans="1:21" s="26" customFormat="1" x14ac:dyDescent="0.3">
      <c r="A189" s="64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5"/>
      <c r="P189" s="48"/>
      <c r="Q189" s="33"/>
      <c r="R189" s="46"/>
      <c r="S189" s="51"/>
      <c r="T189" s="33"/>
      <c r="U189" s="47"/>
    </row>
    <row r="190" spans="1:21" s="26" customFormat="1" x14ac:dyDescent="0.3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5"/>
      <c r="P190" s="48"/>
      <c r="Q190" s="33"/>
      <c r="R190" s="46"/>
      <c r="S190" s="51"/>
      <c r="T190" s="33"/>
      <c r="U190" s="47"/>
    </row>
    <row r="191" spans="1:21" s="26" customFormat="1" x14ac:dyDescent="0.3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5"/>
      <c r="P191" s="48"/>
      <c r="Q191" s="33"/>
      <c r="R191" s="46"/>
      <c r="S191" s="51"/>
      <c r="T191" s="33"/>
      <c r="U191" s="47"/>
    </row>
    <row r="192" spans="1:21" s="26" customFormat="1" x14ac:dyDescent="0.3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5"/>
      <c r="P192" s="48"/>
      <c r="Q192" s="33"/>
      <c r="R192" s="46"/>
      <c r="S192" s="51"/>
      <c r="T192" s="33"/>
      <c r="U192" s="47"/>
    </row>
    <row r="193" spans="1:21" s="26" customFormat="1" x14ac:dyDescent="0.3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5"/>
      <c r="P193" s="48"/>
      <c r="Q193" s="33"/>
      <c r="R193" s="46"/>
      <c r="S193" s="51"/>
      <c r="T193" s="33"/>
      <c r="U193" s="47"/>
    </row>
    <row r="194" spans="1:21" s="26" customFormat="1" x14ac:dyDescent="0.3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5"/>
      <c r="P194" s="48"/>
      <c r="Q194" s="33"/>
      <c r="R194" s="46"/>
      <c r="S194" s="51"/>
      <c r="T194" s="33"/>
      <c r="U194" s="47"/>
    </row>
    <row r="195" spans="1:21" s="26" customFormat="1" x14ac:dyDescent="0.3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5"/>
      <c r="P195" s="48"/>
      <c r="Q195" s="33"/>
      <c r="R195" s="46"/>
      <c r="S195" s="51"/>
      <c r="T195" s="33"/>
      <c r="U195" s="47"/>
    </row>
    <row r="196" spans="1:21" s="26" customFormat="1" x14ac:dyDescent="0.3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5"/>
      <c r="P196" s="48"/>
      <c r="Q196" s="33"/>
      <c r="R196" s="46"/>
      <c r="S196" s="51"/>
      <c r="T196" s="33"/>
      <c r="U196" s="47"/>
    </row>
    <row r="197" spans="1:21" s="26" customFormat="1" x14ac:dyDescent="0.3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5"/>
      <c r="P197" s="48"/>
      <c r="Q197" s="33"/>
      <c r="R197" s="46"/>
      <c r="S197" s="51"/>
      <c r="T197" s="33"/>
      <c r="U197" s="47"/>
    </row>
    <row r="198" spans="1:21" s="26" customFormat="1" x14ac:dyDescent="0.3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5"/>
      <c r="P198" s="48"/>
      <c r="Q198" s="33"/>
      <c r="R198" s="46"/>
      <c r="S198" s="51"/>
      <c r="T198" s="33"/>
      <c r="U198" s="47"/>
    </row>
    <row r="199" spans="1:21" s="26" customFormat="1" x14ac:dyDescent="0.3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5"/>
      <c r="P199" s="48"/>
      <c r="Q199" s="33"/>
      <c r="R199" s="46"/>
      <c r="S199" s="51"/>
      <c r="T199" s="33"/>
      <c r="U199" s="47"/>
    </row>
    <row r="200" spans="1:21" s="26" customFormat="1" x14ac:dyDescent="0.3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5"/>
      <c r="P200" s="48"/>
      <c r="Q200" s="33"/>
      <c r="R200" s="46"/>
      <c r="S200" s="51"/>
      <c r="T200" s="33"/>
      <c r="U200" s="47"/>
    </row>
    <row r="201" spans="1:21" s="26" customFormat="1" x14ac:dyDescent="0.3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5"/>
      <c r="P201" s="48"/>
      <c r="Q201" s="33"/>
      <c r="R201" s="46"/>
      <c r="S201" s="51"/>
      <c r="T201" s="33"/>
      <c r="U201" s="47"/>
    </row>
    <row r="202" spans="1:21" s="26" customFormat="1" x14ac:dyDescent="0.3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5"/>
      <c r="P202" s="48"/>
      <c r="Q202" s="33"/>
      <c r="R202" s="46"/>
      <c r="S202" s="51"/>
      <c r="T202" s="33"/>
      <c r="U202" s="47"/>
    </row>
    <row r="203" spans="1:21" s="26" customFormat="1" x14ac:dyDescent="0.3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5"/>
      <c r="P203" s="48"/>
      <c r="Q203" s="33"/>
      <c r="R203" s="46"/>
      <c r="S203" s="51"/>
      <c r="T203" s="33"/>
      <c r="U203" s="47"/>
    </row>
    <row r="204" spans="1:21" s="26" customFormat="1" x14ac:dyDescent="0.3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5"/>
      <c r="P204" s="48"/>
      <c r="Q204" s="33"/>
      <c r="R204" s="46"/>
      <c r="S204" s="51"/>
      <c r="T204" s="33"/>
      <c r="U204" s="47"/>
    </row>
    <row r="205" spans="1:21" s="26" customFormat="1" x14ac:dyDescent="0.3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5"/>
      <c r="P205" s="48"/>
      <c r="Q205" s="33"/>
      <c r="R205" s="46"/>
      <c r="S205" s="51"/>
      <c r="T205" s="33"/>
      <c r="U205" s="47"/>
    </row>
    <row r="206" spans="1:21" s="26" customFormat="1" x14ac:dyDescent="0.3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5"/>
      <c r="P206" s="48"/>
      <c r="Q206" s="33"/>
      <c r="R206" s="46"/>
      <c r="S206" s="51"/>
      <c r="T206" s="33"/>
      <c r="U206" s="47"/>
    </row>
    <row r="207" spans="1:21" s="26" customFormat="1" x14ac:dyDescent="0.3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5"/>
      <c r="P207" s="48"/>
      <c r="Q207" s="33"/>
      <c r="R207" s="46"/>
      <c r="S207" s="51"/>
      <c r="T207" s="33"/>
      <c r="U207" s="47"/>
    </row>
    <row r="208" spans="1:21" s="26" customFormat="1" x14ac:dyDescent="0.3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5"/>
      <c r="P208" s="48"/>
      <c r="Q208" s="33"/>
      <c r="R208" s="46"/>
      <c r="S208" s="51"/>
      <c r="T208" s="33"/>
      <c r="U208" s="47"/>
    </row>
    <row r="209" spans="1:21" s="26" customFormat="1" x14ac:dyDescent="0.3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5"/>
      <c r="P209" s="48"/>
      <c r="Q209" s="33"/>
      <c r="R209" s="46"/>
      <c r="S209" s="51"/>
      <c r="T209" s="33"/>
      <c r="U209" s="47"/>
    </row>
    <row r="210" spans="1:21" s="26" customFormat="1" x14ac:dyDescent="0.3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5"/>
      <c r="P210" s="48"/>
      <c r="Q210" s="33"/>
      <c r="R210" s="46"/>
      <c r="S210" s="51"/>
      <c r="T210" s="33"/>
      <c r="U210" s="47"/>
    </row>
    <row r="211" spans="1:21" s="26" customFormat="1" x14ac:dyDescent="0.3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5"/>
      <c r="P211" s="48"/>
      <c r="Q211" s="33"/>
      <c r="R211" s="46"/>
      <c r="S211" s="51"/>
      <c r="T211" s="33"/>
      <c r="U211" s="47"/>
    </row>
    <row r="212" spans="1:21" s="26" customFormat="1" x14ac:dyDescent="0.3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5"/>
      <c r="P212" s="48"/>
      <c r="Q212" s="33"/>
      <c r="R212" s="46"/>
      <c r="S212" s="51"/>
      <c r="T212" s="33"/>
      <c r="U212" s="47"/>
    </row>
    <row r="213" spans="1:21" s="26" customFormat="1" x14ac:dyDescent="0.3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5"/>
      <c r="P213" s="48"/>
      <c r="Q213" s="33"/>
      <c r="R213" s="46"/>
      <c r="S213" s="51"/>
      <c r="T213" s="33"/>
      <c r="U213" s="47"/>
    </row>
    <row r="214" spans="1:21" s="26" customFormat="1" x14ac:dyDescent="0.3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5"/>
      <c r="P214" s="48"/>
      <c r="Q214" s="33"/>
      <c r="R214" s="46"/>
      <c r="S214" s="51"/>
      <c r="T214" s="33"/>
      <c r="U214" s="47"/>
    </row>
    <row r="215" spans="1:21" s="26" customFormat="1" x14ac:dyDescent="0.3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5"/>
      <c r="P215" s="48"/>
      <c r="Q215" s="33"/>
      <c r="R215" s="46"/>
      <c r="S215" s="51"/>
      <c r="T215" s="33"/>
      <c r="U215" s="47"/>
    </row>
    <row r="216" spans="1:21" s="26" customFormat="1" x14ac:dyDescent="0.3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5"/>
      <c r="P216" s="48"/>
      <c r="Q216" s="33"/>
      <c r="R216" s="46"/>
      <c r="S216" s="51"/>
      <c r="T216" s="33"/>
      <c r="U216" s="47"/>
    </row>
    <row r="217" spans="1:21" s="26" customFormat="1" x14ac:dyDescent="0.3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5"/>
      <c r="P217" s="48"/>
      <c r="Q217" s="33"/>
      <c r="R217" s="46"/>
      <c r="S217" s="51"/>
      <c r="T217" s="33"/>
      <c r="U217" s="47"/>
    </row>
    <row r="218" spans="1:21" s="26" customFormat="1" x14ac:dyDescent="0.3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5"/>
      <c r="P218" s="48"/>
      <c r="Q218" s="33"/>
      <c r="R218" s="46"/>
      <c r="S218" s="51"/>
      <c r="T218" s="33"/>
      <c r="U218" s="47"/>
    </row>
    <row r="219" spans="1:21" s="26" customFormat="1" x14ac:dyDescent="0.3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5"/>
      <c r="P219" s="48"/>
      <c r="Q219" s="33"/>
      <c r="R219" s="46"/>
      <c r="S219" s="51"/>
      <c r="T219" s="33"/>
      <c r="U219" s="47"/>
    </row>
    <row r="220" spans="1:21" s="26" customFormat="1" x14ac:dyDescent="0.3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5"/>
      <c r="P220" s="48"/>
      <c r="Q220" s="33"/>
      <c r="R220" s="46"/>
      <c r="S220" s="51"/>
      <c r="T220" s="33"/>
      <c r="U220" s="47"/>
    </row>
    <row r="221" spans="1:21" s="26" customFormat="1" x14ac:dyDescent="0.3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5"/>
      <c r="P221" s="48"/>
      <c r="Q221" s="33"/>
      <c r="R221" s="46"/>
      <c r="S221" s="51"/>
      <c r="T221" s="33"/>
      <c r="U221" s="47"/>
    </row>
    <row r="222" spans="1:21" s="26" customFormat="1" x14ac:dyDescent="0.3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5"/>
      <c r="P222" s="48"/>
      <c r="Q222" s="33"/>
      <c r="R222" s="46"/>
      <c r="S222" s="51"/>
      <c r="T222" s="33"/>
      <c r="U222" s="47"/>
    </row>
    <row r="223" spans="1:21" s="26" customFormat="1" x14ac:dyDescent="0.3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5"/>
      <c r="P223" s="48"/>
      <c r="Q223" s="33"/>
      <c r="R223" s="46"/>
      <c r="S223" s="51"/>
      <c r="T223" s="33"/>
      <c r="U223" s="47"/>
    </row>
    <row r="224" spans="1:21" s="26" customFormat="1" x14ac:dyDescent="0.3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5"/>
      <c r="P224" s="48"/>
      <c r="Q224" s="33"/>
      <c r="R224" s="46"/>
      <c r="S224" s="51"/>
      <c r="T224" s="33"/>
      <c r="U224" s="47"/>
    </row>
    <row r="225" spans="1:21" s="26" customFormat="1" x14ac:dyDescent="0.3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5"/>
      <c r="P225" s="48"/>
      <c r="Q225" s="33"/>
      <c r="R225" s="46"/>
      <c r="S225" s="51"/>
      <c r="T225" s="33"/>
      <c r="U225" s="47"/>
    </row>
    <row r="226" spans="1:21" s="26" customFormat="1" x14ac:dyDescent="0.3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5"/>
      <c r="P226" s="48"/>
      <c r="Q226" s="33"/>
      <c r="R226" s="46"/>
      <c r="S226" s="51"/>
      <c r="T226" s="33"/>
      <c r="U226" s="47"/>
    </row>
    <row r="227" spans="1:21" s="26" customFormat="1" x14ac:dyDescent="0.3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5"/>
      <c r="P227" s="48"/>
      <c r="Q227" s="33"/>
      <c r="R227" s="46"/>
      <c r="S227" s="51"/>
      <c r="T227" s="33"/>
      <c r="U227" s="47"/>
    </row>
    <row r="228" spans="1:21" s="26" customFormat="1" x14ac:dyDescent="0.3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5"/>
      <c r="P228" s="48"/>
      <c r="Q228" s="33"/>
      <c r="R228" s="46"/>
      <c r="S228" s="51"/>
      <c r="T228" s="33"/>
      <c r="U228" s="47"/>
    </row>
    <row r="229" spans="1:21" s="26" customFormat="1" x14ac:dyDescent="0.3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5"/>
      <c r="P229" s="48"/>
      <c r="Q229" s="33"/>
      <c r="R229" s="46"/>
      <c r="S229" s="51"/>
      <c r="T229" s="33"/>
      <c r="U229" s="47"/>
    </row>
    <row r="230" spans="1:21" s="26" customFormat="1" x14ac:dyDescent="0.3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5"/>
      <c r="P230" s="48"/>
      <c r="Q230" s="33"/>
      <c r="R230" s="46"/>
      <c r="S230" s="51"/>
      <c r="T230" s="33"/>
      <c r="U230" s="47"/>
    </row>
    <row r="231" spans="1:21" s="26" customFormat="1" x14ac:dyDescent="0.3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5"/>
      <c r="P231" s="48"/>
      <c r="Q231" s="33"/>
      <c r="R231" s="46"/>
      <c r="S231" s="51"/>
      <c r="T231" s="33"/>
      <c r="U231" s="47"/>
    </row>
    <row r="232" spans="1:21" s="26" customFormat="1" x14ac:dyDescent="0.3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5"/>
      <c r="P232" s="48"/>
      <c r="Q232" s="33"/>
      <c r="R232" s="46"/>
      <c r="S232" s="51"/>
      <c r="T232" s="33"/>
      <c r="U232" s="47"/>
    </row>
    <row r="233" spans="1:21" s="26" customFormat="1" x14ac:dyDescent="0.3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5"/>
      <c r="P233" s="48"/>
      <c r="Q233" s="33"/>
      <c r="R233" s="46"/>
      <c r="S233" s="51"/>
      <c r="T233" s="33"/>
      <c r="U233" s="47"/>
    </row>
    <row r="234" spans="1:21" s="26" customFormat="1" x14ac:dyDescent="0.3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5"/>
      <c r="P234" s="48"/>
      <c r="Q234" s="33"/>
      <c r="R234" s="46"/>
      <c r="S234" s="51"/>
      <c r="T234" s="33"/>
      <c r="U234" s="47"/>
    </row>
    <row r="235" spans="1:21" s="26" customFormat="1" x14ac:dyDescent="0.3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5"/>
      <c r="P235" s="48"/>
      <c r="Q235" s="33"/>
      <c r="R235" s="46"/>
      <c r="S235" s="51"/>
      <c r="T235" s="33"/>
      <c r="U235" s="47"/>
    </row>
    <row r="236" spans="1:21" s="26" customFormat="1" x14ac:dyDescent="0.3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5"/>
      <c r="P236" s="48"/>
      <c r="Q236" s="33"/>
      <c r="R236" s="46"/>
      <c r="S236" s="51"/>
      <c r="T236" s="33"/>
      <c r="U236" s="47"/>
    </row>
    <row r="237" spans="1:21" s="26" customFormat="1" x14ac:dyDescent="0.3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5"/>
      <c r="P237" s="48"/>
      <c r="Q237" s="33"/>
      <c r="R237" s="46"/>
      <c r="S237" s="51"/>
      <c r="T237" s="33"/>
      <c r="U237" s="47"/>
    </row>
    <row r="238" spans="1:21" s="26" customFormat="1" x14ac:dyDescent="0.3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5"/>
      <c r="P238" s="48"/>
      <c r="Q238" s="33"/>
      <c r="R238" s="46"/>
      <c r="S238" s="51"/>
      <c r="T238" s="33"/>
      <c r="U238" s="47"/>
    </row>
    <row r="239" spans="1:21" s="26" customFormat="1" x14ac:dyDescent="0.3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5"/>
      <c r="P239" s="48"/>
      <c r="Q239" s="33"/>
      <c r="R239" s="46"/>
      <c r="S239" s="51"/>
      <c r="T239" s="33"/>
      <c r="U239" s="47"/>
    </row>
    <row r="240" spans="1:21" s="26" customFormat="1" x14ac:dyDescent="0.3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5"/>
      <c r="P240" s="48"/>
      <c r="Q240" s="33"/>
      <c r="R240" s="46"/>
      <c r="S240" s="51"/>
      <c r="T240" s="33"/>
      <c r="U240" s="47"/>
    </row>
    <row r="241" spans="1:21" s="26" customFormat="1" x14ac:dyDescent="0.3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5"/>
      <c r="P241" s="48"/>
      <c r="Q241" s="33"/>
      <c r="R241" s="46"/>
      <c r="S241" s="51"/>
      <c r="T241" s="33"/>
      <c r="U241" s="47"/>
    </row>
    <row r="242" spans="1:21" s="26" customFormat="1" x14ac:dyDescent="0.3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5"/>
      <c r="P242" s="48"/>
      <c r="Q242" s="33"/>
      <c r="R242" s="46"/>
      <c r="S242" s="51"/>
      <c r="T242" s="33"/>
      <c r="U242" s="47"/>
    </row>
    <row r="243" spans="1:21" s="26" customFormat="1" x14ac:dyDescent="0.3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5"/>
      <c r="P243" s="48"/>
      <c r="Q243" s="33"/>
      <c r="R243" s="46"/>
      <c r="S243" s="51"/>
      <c r="T243" s="33"/>
      <c r="U243" s="47"/>
    </row>
    <row r="244" spans="1:21" s="26" customFormat="1" x14ac:dyDescent="0.3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5"/>
      <c r="P244" s="48"/>
      <c r="Q244" s="33"/>
      <c r="R244" s="46"/>
      <c r="S244" s="51"/>
      <c r="T244" s="33"/>
      <c r="U244" s="47"/>
    </row>
    <row r="245" spans="1:21" s="26" customFormat="1" x14ac:dyDescent="0.3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5"/>
      <c r="P245" s="48"/>
      <c r="Q245" s="33"/>
      <c r="R245" s="46"/>
      <c r="S245" s="51"/>
      <c r="T245" s="33"/>
      <c r="U245" s="47"/>
    </row>
  </sheetData>
  <mergeCells count="18">
    <mergeCell ref="J14:J15"/>
    <mergeCell ref="K14:K15"/>
    <mergeCell ref="L14:L15"/>
    <mergeCell ref="O14:O15"/>
    <mergeCell ref="Q14:R14"/>
    <mergeCell ref="T14:U14"/>
    <mergeCell ref="A1:U2"/>
    <mergeCell ref="M14:M15"/>
    <mergeCell ref="N14:N15"/>
    <mergeCell ref="A14:A15"/>
    <mergeCell ref="B14:B15"/>
    <mergeCell ref="C14:C15"/>
    <mergeCell ref="D14:D15"/>
    <mergeCell ref="E14:E15"/>
    <mergeCell ref="F14:F15"/>
    <mergeCell ref="G14:G15"/>
    <mergeCell ref="H14:H15"/>
    <mergeCell ref="I14:I15"/>
  </mergeCells>
  <dataValidations count="1">
    <dataValidation type="list" allowBlank="1" showInputMessage="1" showErrorMessage="1" sqref="H11" xr:uid="{F90389AB-0A17-481D-8CBA-D71EB86D7F72}">
      <formula1>"GREEN,YELLOW,RED"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DCD91-AC2D-453C-BD03-08FE5F2B592A}">
  <sheetPr codeName="Sheet4"/>
  <dimension ref="A1:BT236"/>
  <sheetViews>
    <sheetView showGridLines="0" zoomScale="85" zoomScaleNormal="85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K11" sqref="K11"/>
    </sheetView>
  </sheetViews>
  <sheetFormatPr defaultRowHeight="14.4" x14ac:dyDescent="0.3"/>
  <cols>
    <col min="1" max="1" width="4.5546875" style="8" customWidth="1"/>
    <col min="2" max="2" width="7.109375" style="8" customWidth="1"/>
    <col min="3" max="3" width="53.5546875" style="8" bestFit="1" customWidth="1"/>
    <col min="4" max="4" width="13.5546875" style="8" customWidth="1"/>
    <col min="5" max="5" width="14.33203125" style="8" customWidth="1"/>
    <col min="6" max="6" width="8.88671875" style="8"/>
    <col min="7" max="7" width="11.33203125" style="8" customWidth="1"/>
    <col min="8" max="8" width="11.6640625" style="8" customWidth="1"/>
    <col min="9" max="9" width="9.5546875" style="8" customWidth="1"/>
    <col min="10" max="10" width="10.6640625" style="8" customWidth="1"/>
    <col min="11" max="11" width="10.6640625" style="54" customWidth="1"/>
    <col min="12" max="12" width="12.109375" style="8" customWidth="1"/>
    <col min="13" max="13" width="11.21875" style="8" customWidth="1"/>
    <col min="14" max="14" width="13.109375" style="8" customWidth="1"/>
    <col min="15" max="15" width="9.33203125" style="8" customWidth="1"/>
    <col min="16" max="16" width="8.88671875" style="8"/>
    <col min="17" max="17" width="11" style="8" customWidth="1"/>
    <col min="18" max="16384" width="8.88671875" style="8"/>
  </cols>
  <sheetData>
    <row r="1" spans="1:72" x14ac:dyDescent="0.3">
      <c r="A1" s="72" t="s">
        <v>265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</row>
    <row r="2" spans="1:72" x14ac:dyDescent="0.3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72" s="43" customFormat="1" x14ac:dyDescent="0.3">
      <c r="A3" s="44"/>
      <c r="B3" s="44"/>
      <c r="C3" s="44"/>
      <c r="D3" s="44"/>
      <c r="E3" s="44"/>
      <c r="F3" s="44"/>
      <c r="G3" s="44"/>
      <c r="H3" s="44"/>
      <c r="I3" s="44"/>
      <c r="J3" s="44"/>
      <c r="K3" s="60"/>
      <c r="L3" s="44"/>
      <c r="M3" s="44"/>
      <c r="N3" s="44"/>
      <c r="O3" s="44"/>
      <c r="P3" s="44"/>
      <c r="Q3" s="44"/>
    </row>
    <row r="4" spans="1:72" s="43" customFormat="1" x14ac:dyDescent="0.3">
      <c r="A4" s="44"/>
      <c r="B4" s="44"/>
      <c r="C4" s="44"/>
      <c r="D4" s="44"/>
      <c r="E4" s="44"/>
      <c r="F4" s="44"/>
      <c r="G4" s="44"/>
      <c r="H4" s="44"/>
      <c r="I4" s="44"/>
      <c r="J4" s="44"/>
      <c r="K4" s="60"/>
      <c r="L4" s="44"/>
      <c r="M4" s="44"/>
      <c r="N4" s="44"/>
      <c r="O4" s="44"/>
      <c r="P4" s="44"/>
      <c r="Q4" s="44"/>
    </row>
    <row r="5" spans="1:72" s="43" customFormat="1" ht="15" thickBot="1" x14ac:dyDescent="0.35">
      <c r="A5" s="44"/>
      <c r="B5" s="44"/>
      <c r="C5" s="44"/>
      <c r="D5" s="44"/>
      <c r="E5" s="44"/>
      <c r="F5" s="44"/>
      <c r="G5" s="44"/>
      <c r="H5" s="44"/>
      <c r="I5" s="44"/>
      <c r="J5" s="44"/>
      <c r="K5" s="60"/>
      <c r="L5" s="44"/>
      <c r="M5" s="44"/>
      <c r="N5" s="44"/>
      <c r="O5" s="44"/>
      <c r="P5" s="44"/>
      <c r="Q5" s="44"/>
    </row>
    <row r="6" spans="1:72" ht="15" thickBot="1" x14ac:dyDescent="0.35">
      <c r="A6" s="33"/>
      <c r="B6" s="33"/>
      <c r="C6" s="33"/>
      <c r="D6" s="33"/>
      <c r="E6" s="33"/>
      <c r="F6" s="74"/>
      <c r="G6" s="75"/>
      <c r="H6" s="76"/>
      <c r="I6" s="33"/>
      <c r="J6" s="33"/>
      <c r="K6" s="57"/>
      <c r="L6" s="33"/>
      <c r="M6" s="33"/>
      <c r="N6" s="33"/>
      <c r="O6" s="33"/>
      <c r="P6" s="33"/>
      <c r="Q6" s="33"/>
    </row>
    <row r="7" spans="1:7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57"/>
      <c r="L7" s="33"/>
      <c r="M7" s="33"/>
      <c r="N7" s="33"/>
      <c r="O7" s="33"/>
      <c r="P7" s="33"/>
      <c r="Q7" s="33"/>
    </row>
    <row r="8" spans="1:72" x14ac:dyDescent="0.3">
      <c r="A8" s="79"/>
      <c r="B8" s="66" t="s">
        <v>1</v>
      </c>
      <c r="C8" s="66" t="s">
        <v>0</v>
      </c>
      <c r="D8" s="66" t="s">
        <v>2</v>
      </c>
      <c r="E8" s="70" t="s">
        <v>3</v>
      </c>
      <c r="F8" s="70" t="s">
        <v>66</v>
      </c>
      <c r="G8" s="66" t="s">
        <v>4</v>
      </c>
      <c r="H8" s="66" t="s">
        <v>284</v>
      </c>
      <c r="I8" s="66" t="s">
        <v>273</v>
      </c>
      <c r="J8" s="66" t="s">
        <v>283</v>
      </c>
      <c r="K8" s="78" t="s">
        <v>286</v>
      </c>
      <c r="L8" s="66" t="s">
        <v>285</v>
      </c>
      <c r="M8" s="66" t="s">
        <v>68</v>
      </c>
      <c r="N8" s="66" t="s">
        <v>65</v>
      </c>
      <c r="O8" s="66" t="s">
        <v>267</v>
      </c>
      <c r="P8" s="66" t="s">
        <v>230</v>
      </c>
      <c r="Q8" s="66" t="s">
        <v>272</v>
      </c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</row>
    <row r="9" spans="1:72" ht="46.2" customHeight="1" x14ac:dyDescent="0.3">
      <c r="A9" s="79"/>
      <c r="B9" s="66"/>
      <c r="C9" s="66"/>
      <c r="D9" s="66"/>
      <c r="E9" s="70"/>
      <c r="F9" s="70"/>
      <c r="G9" s="66"/>
      <c r="H9" s="66"/>
      <c r="I9" s="66"/>
      <c r="J9" s="77"/>
      <c r="K9" s="77"/>
      <c r="L9" s="66"/>
      <c r="M9" s="66"/>
      <c r="N9" s="66"/>
      <c r="O9" s="66"/>
      <c r="P9" s="66"/>
      <c r="Q9" s="66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</row>
    <row r="10" spans="1:72" s="27" customFormat="1" ht="12.6" x14ac:dyDescent="0.3">
      <c r="A10" s="71" t="s">
        <v>70</v>
      </c>
      <c r="B10" s="31">
        <v>1</v>
      </c>
      <c r="C10" s="9" t="s">
        <v>6</v>
      </c>
      <c r="D10" s="9">
        <v>10316549</v>
      </c>
      <c r="E10" s="1">
        <v>112507057</v>
      </c>
      <c r="F10" s="12">
        <v>0</v>
      </c>
      <c r="G10" s="1">
        <v>1</v>
      </c>
      <c r="H10" s="6">
        <v>18</v>
      </c>
      <c r="I10" s="6">
        <v>12</v>
      </c>
      <c r="J10" s="6">
        <v>6</v>
      </c>
      <c r="K10" s="53">
        <v>0</v>
      </c>
      <c r="L10" s="6">
        <f>J10-K10</f>
        <v>6</v>
      </c>
      <c r="M10" s="6">
        <f>L10/J10*100</f>
        <v>100</v>
      </c>
      <c r="N10" s="6">
        <f t="shared" ref="N10:N45" si="0">F10*L10</f>
        <v>0</v>
      </c>
      <c r="O10" s="6" t="s">
        <v>69</v>
      </c>
      <c r="P10" s="6" t="s">
        <v>69</v>
      </c>
      <c r="Q10" s="9" t="str">
        <f>IF(AND(I10+L10&gt;=0.75*H10),"GREEN",IF(AND(I10+L10&gt;0.5*H10,I10+L10&lt;0.75*H10),"YELLOW",IF(AND(I10+L10&lt;=0.5*H10),"RED","INVALID")))</f>
        <v>GREEN</v>
      </c>
    </row>
    <row r="11" spans="1:72" s="27" customFormat="1" ht="12.6" x14ac:dyDescent="0.3">
      <c r="A11" s="71"/>
      <c r="B11" s="31">
        <v>2</v>
      </c>
      <c r="C11" s="9" t="s">
        <v>7</v>
      </c>
      <c r="D11" s="9">
        <v>10033037</v>
      </c>
      <c r="E11" s="1">
        <v>112507056</v>
      </c>
      <c r="F11" s="1">
        <v>12901</v>
      </c>
      <c r="G11" s="1">
        <v>1</v>
      </c>
      <c r="H11" s="53">
        <v>18</v>
      </c>
      <c r="I11" s="53">
        <v>12</v>
      </c>
      <c r="J11" s="53">
        <v>6</v>
      </c>
      <c r="K11" s="53">
        <v>0</v>
      </c>
      <c r="L11" s="53">
        <f t="shared" ref="L11:L74" si="1">J11-K11</f>
        <v>6</v>
      </c>
      <c r="M11" s="53">
        <f t="shared" ref="M11:M74" si="2">L11/J11*100</f>
        <v>100</v>
      </c>
      <c r="N11" s="6">
        <f t="shared" si="0"/>
        <v>77406</v>
      </c>
      <c r="O11" s="6" t="s">
        <v>69</v>
      </c>
      <c r="P11" s="6" t="s">
        <v>69</v>
      </c>
      <c r="Q11" s="55" t="str">
        <f t="shared" ref="Q11:Q74" si="3">IF(AND(I11+L11&gt;=0.75*H11),"GREEN",IF(AND(I11+L11&gt;0.5*H11,I11+L11&lt;0.75*H11),"YELLOW",IF(AND(I11+L11&lt;=0.5*H11),"RED","INVALID")))</f>
        <v>GREEN</v>
      </c>
    </row>
    <row r="12" spans="1:72" s="27" customFormat="1" ht="12.6" x14ac:dyDescent="0.3">
      <c r="A12" s="71"/>
      <c r="B12" s="31">
        <v>3</v>
      </c>
      <c r="C12" s="9" t="s">
        <v>7</v>
      </c>
      <c r="D12" s="9">
        <v>10033038</v>
      </c>
      <c r="E12" s="1">
        <v>112507055</v>
      </c>
      <c r="F12" s="1">
        <v>12901</v>
      </c>
      <c r="G12" s="1">
        <v>1</v>
      </c>
      <c r="H12" s="53">
        <v>18</v>
      </c>
      <c r="I12" s="53">
        <v>12</v>
      </c>
      <c r="J12" s="53">
        <v>6</v>
      </c>
      <c r="K12" s="53">
        <v>0</v>
      </c>
      <c r="L12" s="53">
        <f t="shared" si="1"/>
        <v>6</v>
      </c>
      <c r="M12" s="53">
        <f t="shared" si="2"/>
        <v>100</v>
      </c>
      <c r="N12" s="6">
        <f t="shared" si="0"/>
        <v>77406</v>
      </c>
      <c r="O12" s="6" t="s">
        <v>69</v>
      </c>
      <c r="P12" s="6" t="s">
        <v>69</v>
      </c>
      <c r="Q12" s="55" t="str">
        <f t="shared" si="3"/>
        <v>GREEN</v>
      </c>
    </row>
    <row r="13" spans="1:72" s="27" customFormat="1" ht="12.6" x14ac:dyDescent="0.3">
      <c r="A13" s="71"/>
      <c r="B13" s="31">
        <v>4</v>
      </c>
      <c r="C13" s="9" t="s">
        <v>8</v>
      </c>
      <c r="D13" s="9" t="s">
        <v>9</v>
      </c>
      <c r="E13" s="1">
        <v>112052061</v>
      </c>
      <c r="F13" s="1">
        <v>2208</v>
      </c>
      <c r="G13" s="1">
        <v>2</v>
      </c>
      <c r="H13" s="53">
        <v>36</v>
      </c>
      <c r="I13" s="53">
        <v>24</v>
      </c>
      <c r="J13" s="53">
        <v>12</v>
      </c>
      <c r="K13" s="53">
        <v>0</v>
      </c>
      <c r="L13" s="53">
        <f t="shared" si="1"/>
        <v>12</v>
      </c>
      <c r="M13" s="53">
        <f t="shared" si="2"/>
        <v>100</v>
      </c>
      <c r="N13" s="6">
        <f t="shared" si="0"/>
        <v>26496</v>
      </c>
      <c r="O13" s="6" t="s">
        <v>69</v>
      </c>
      <c r="P13" s="6" t="s">
        <v>69</v>
      </c>
      <c r="Q13" s="55" t="str">
        <f t="shared" si="3"/>
        <v>GREEN</v>
      </c>
    </row>
    <row r="14" spans="1:72" s="27" customFormat="1" ht="12.6" x14ac:dyDescent="0.3">
      <c r="A14" s="71"/>
      <c r="B14" s="31">
        <v>5</v>
      </c>
      <c r="C14" s="9" t="s">
        <v>10</v>
      </c>
      <c r="D14" s="9">
        <v>10212782</v>
      </c>
      <c r="E14" s="1">
        <v>112052066</v>
      </c>
      <c r="F14" s="1">
        <v>473</v>
      </c>
      <c r="G14" s="1">
        <v>4</v>
      </c>
      <c r="H14" s="53">
        <v>72</v>
      </c>
      <c r="I14" s="53">
        <v>48</v>
      </c>
      <c r="J14" s="53">
        <v>24</v>
      </c>
      <c r="K14" s="53">
        <v>0</v>
      </c>
      <c r="L14" s="53">
        <f t="shared" si="1"/>
        <v>24</v>
      </c>
      <c r="M14" s="53">
        <f t="shared" si="2"/>
        <v>100</v>
      </c>
      <c r="N14" s="6">
        <f t="shared" si="0"/>
        <v>11352</v>
      </c>
      <c r="O14" s="6" t="s">
        <v>69</v>
      </c>
      <c r="P14" s="6" t="s">
        <v>69</v>
      </c>
      <c r="Q14" s="55" t="str">
        <f t="shared" si="3"/>
        <v>GREEN</v>
      </c>
    </row>
    <row r="15" spans="1:72" s="27" customFormat="1" ht="12.6" x14ac:dyDescent="0.3">
      <c r="A15" s="71"/>
      <c r="B15" s="31">
        <v>6</v>
      </c>
      <c r="C15" s="9" t="s">
        <v>11</v>
      </c>
      <c r="D15" s="9">
        <v>10032269</v>
      </c>
      <c r="E15" s="1">
        <v>112052063</v>
      </c>
      <c r="F15" s="1">
        <v>8802</v>
      </c>
      <c r="G15" s="1">
        <v>1</v>
      </c>
      <c r="H15" s="53">
        <v>36</v>
      </c>
      <c r="I15" s="53">
        <v>24</v>
      </c>
      <c r="J15" s="53">
        <v>12</v>
      </c>
      <c r="K15" s="53">
        <v>0</v>
      </c>
      <c r="L15" s="53">
        <f t="shared" si="1"/>
        <v>12</v>
      </c>
      <c r="M15" s="53">
        <f t="shared" si="2"/>
        <v>100</v>
      </c>
      <c r="N15" s="6">
        <f t="shared" si="0"/>
        <v>105624</v>
      </c>
      <c r="O15" s="6" t="s">
        <v>69</v>
      </c>
      <c r="P15" s="6" t="s">
        <v>69</v>
      </c>
      <c r="Q15" s="55" t="str">
        <f t="shared" si="3"/>
        <v>GREEN</v>
      </c>
    </row>
    <row r="16" spans="1:72" s="27" customFormat="1" ht="12.6" x14ac:dyDescent="0.3">
      <c r="A16" s="71"/>
      <c r="B16" s="31">
        <v>7</v>
      </c>
      <c r="C16" s="9" t="s">
        <v>12</v>
      </c>
      <c r="D16" s="9">
        <v>10032270</v>
      </c>
      <c r="E16" s="1">
        <v>112052064</v>
      </c>
      <c r="F16" s="1">
        <v>8802</v>
      </c>
      <c r="G16" s="1">
        <v>1</v>
      </c>
      <c r="H16" s="53">
        <v>18</v>
      </c>
      <c r="I16" s="53">
        <v>12</v>
      </c>
      <c r="J16" s="53">
        <v>6</v>
      </c>
      <c r="K16" s="53">
        <v>0</v>
      </c>
      <c r="L16" s="53">
        <f t="shared" si="1"/>
        <v>6</v>
      </c>
      <c r="M16" s="53">
        <f t="shared" si="2"/>
        <v>100</v>
      </c>
      <c r="N16" s="6">
        <f t="shared" si="0"/>
        <v>52812</v>
      </c>
      <c r="O16" s="6" t="s">
        <v>69</v>
      </c>
      <c r="P16" s="6" t="s">
        <v>69</v>
      </c>
      <c r="Q16" s="55" t="str">
        <f t="shared" si="3"/>
        <v>GREEN</v>
      </c>
    </row>
    <row r="17" spans="1:17" s="27" customFormat="1" ht="12.6" x14ac:dyDescent="0.3">
      <c r="A17" s="71"/>
      <c r="B17" s="31">
        <v>8</v>
      </c>
      <c r="C17" s="9" t="s">
        <v>13</v>
      </c>
      <c r="D17" s="9" t="s">
        <v>14</v>
      </c>
      <c r="E17" s="1">
        <v>112507054</v>
      </c>
      <c r="F17" s="1">
        <v>466</v>
      </c>
      <c r="G17" s="1">
        <v>2</v>
      </c>
      <c r="H17" s="53">
        <v>36</v>
      </c>
      <c r="I17" s="53">
        <v>24</v>
      </c>
      <c r="J17" s="53">
        <v>12</v>
      </c>
      <c r="K17" s="53">
        <v>0</v>
      </c>
      <c r="L17" s="53">
        <f t="shared" si="1"/>
        <v>12</v>
      </c>
      <c r="M17" s="53">
        <f t="shared" si="2"/>
        <v>100</v>
      </c>
      <c r="N17" s="6">
        <f t="shared" si="0"/>
        <v>5592</v>
      </c>
      <c r="O17" s="6" t="s">
        <v>69</v>
      </c>
      <c r="P17" s="6" t="s">
        <v>69</v>
      </c>
      <c r="Q17" s="55" t="str">
        <f t="shared" si="3"/>
        <v>GREEN</v>
      </c>
    </row>
    <row r="18" spans="1:17" s="27" customFormat="1" ht="12.6" x14ac:dyDescent="0.3">
      <c r="A18" s="71"/>
      <c r="B18" s="31">
        <v>9</v>
      </c>
      <c r="C18" s="9" t="s">
        <v>15</v>
      </c>
      <c r="D18" s="9">
        <v>10031819</v>
      </c>
      <c r="E18" s="1">
        <v>112507053</v>
      </c>
      <c r="F18" s="1">
        <v>254</v>
      </c>
      <c r="G18" s="1">
        <v>2</v>
      </c>
      <c r="H18" s="53">
        <v>36</v>
      </c>
      <c r="I18" s="53">
        <v>24</v>
      </c>
      <c r="J18" s="53">
        <v>12</v>
      </c>
      <c r="K18" s="53">
        <v>0</v>
      </c>
      <c r="L18" s="53">
        <f t="shared" si="1"/>
        <v>12</v>
      </c>
      <c r="M18" s="53">
        <f t="shared" si="2"/>
        <v>100</v>
      </c>
      <c r="N18" s="6">
        <f t="shared" si="0"/>
        <v>3048</v>
      </c>
      <c r="O18" s="6" t="s">
        <v>69</v>
      </c>
      <c r="P18" s="6" t="s">
        <v>69</v>
      </c>
      <c r="Q18" s="55" t="str">
        <f t="shared" si="3"/>
        <v>GREEN</v>
      </c>
    </row>
    <row r="19" spans="1:17" s="27" customFormat="1" ht="25.2" x14ac:dyDescent="0.3">
      <c r="A19" s="71"/>
      <c r="B19" s="31">
        <v>10</v>
      </c>
      <c r="C19" s="9" t="s">
        <v>16</v>
      </c>
      <c r="D19" s="9" t="s">
        <v>17</v>
      </c>
      <c r="E19" s="1">
        <v>112052065</v>
      </c>
      <c r="F19" s="1">
        <v>388</v>
      </c>
      <c r="G19" s="1">
        <v>4</v>
      </c>
      <c r="H19" s="53">
        <v>72</v>
      </c>
      <c r="I19" s="53">
        <v>48</v>
      </c>
      <c r="J19" s="53">
        <v>24</v>
      </c>
      <c r="K19" s="53">
        <v>0</v>
      </c>
      <c r="L19" s="53">
        <f t="shared" si="1"/>
        <v>24</v>
      </c>
      <c r="M19" s="53">
        <f t="shared" si="2"/>
        <v>100</v>
      </c>
      <c r="N19" s="6">
        <f t="shared" si="0"/>
        <v>9312</v>
      </c>
      <c r="O19" s="6" t="s">
        <v>69</v>
      </c>
      <c r="P19" s="6" t="s">
        <v>69</v>
      </c>
      <c r="Q19" s="55" t="str">
        <f t="shared" si="3"/>
        <v>GREEN</v>
      </c>
    </row>
    <row r="20" spans="1:17" s="27" customFormat="1" ht="12.6" x14ac:dyDescent="0.3">
      <c r="A20" s="71"/>
      <c r="B20" s="31">
        <v>11</v>
      </c>
      <c r="C20" s="9" t="s">
        <v>18</v>
      </c>
      <c r="D20" s="9" t="s">
        <v>19</v>
      </c>
      <c r="E20" s="1">
        <v>112052067</v>
      </c>
      <c r="F20" s="1">
        <v>391</v>
      </c>
      <c r="G20" s="1">
        <v>4</v>
      </c>
      <c r="H20" s="53">
        <v>72</v>
      </c>
      <c r="I20" s="53">
        <v>48</v>
      </c>
      <c r="J20" s="53">
        <v>24</v>
      </c>
      <c r="K20" s="53">
        <v>0</v>
      </c>
      <c r="L20" s="53">
        <f t="shared" si="1"/>
        <v>24</v>
      </c>
      <c r="M20" s="53">
        <f t="shared" si="2"/>
        <v>100</v>
      </c>
      <c r="N20" s="6">
        <f t="shared" si="0"/>
        <v>9384</v>
      </c>
      <c r="O20" s="6" t="s">
        <v>69</v>
      </c>
      <c r="P20" s="6" t="s">
        <v>69</v>
      </c>
      <c r="Q20" s="55" t="str">
        <f t="shared" si="3"/>
        <v>GREEN</v>
      </c>
    </row>
    <row r="21" spans="1:17" s="27" customFormat="1" ht="25.2" x14ac:dyDescent="0.3">
      <c r="A21" s="71"/>
      <c r="B21" s="31">
        <v>12</v>
      </c>
      <c r="C21" s="9" t="s">
        <v>20</v>
      </c>
      <c r="D21" s="9" t="s">
        <v>21</v>
      </c>
      <c r="E21" s="1">
        <v>112052062</v>
      </c>
      <c r="F21" s="1">
        <v>276</v>
      </c>
      <c r="G21" s="1">
        <v>2</v>
      </c>
      <c r="H21" s="53">
        <v>36</v>
      </c>
      <c r="I21" s="53">
        <v>14</v>
      </c>
      <c r="J21" s="53">
        <v>12</v>
      </c>
      <c r="K21" s="53">
        <v>5</v>
      </c>
      <c r="L21" s="53">
        <f t="shared" si="1"/>
        <v>7</v>
      </c>
      <c r="M21" s="53">
        <f t="shared" si="2"/>
        <v>58.333333333333336</v>
      </c>
      <c r="N21" s="6">
        <f t="shared" si="0"/>
        <v>1932</v>
      </c>
      <c r="O21" s="6" t="s">
        <v>69</v>
      </c>
      <c r="P21" s="6" t="s">
        <v>69</v>
      </c>
      <c r="Q21" s="55" t="str">
        <f t="shared" si="3"/>
        <v>YELLOW</v>
      </c>
    </row>
    <row r="22" spans="1:17" s="27" customFormat="1" ht="12.6" x14ac:dyDescent="0.3">
      <c r="A22" s="71"/>
      <c r="B22" s="31">
        <v>13</v>
      </c>
      <c r="C22" s="9" t="s">
        <v>22</v>
      </c>
      <c r="D22" s="9" t="s">
        <v>23</v>
      </c>
      <c r="E22" s="1">
        <v>112507052</v>
      </c>
      <c r="F22" s="1">
        <v>246</v>
      </c>
      <c r="G22" s="1">
        <v>2</v>
      </c>
      <c r="H22" s="53">
        <v>36</v>
      </c>
      <c r="I22" s="53">
        <v>24</v>
      </c>
      <c r="J22" s="53">
        <v>12</v>
      </c>
      <c r="K22" s="53">
        <v>0</v>
      </c>
      <c r="L22" s="53">
        <f t="shared" si="1"/>
        <v>12</v>
      </c>
      <c r="M22" s="53">
        <f t="shared" si="2"/>
        <v>100</v>
      </c>
      <c r="N22" s="6">
        <f t="shared" si="0"/>
        <v>2952</v>
      </c>
      <c r="O22" s="6" t="s">
        <v>69</v>
      </c>
      <c r="P22" s="6" t="s">
        <v>69</v>
      </c>
      <c r="Q22" s="55" t="str">
        <f t="shared" si="3"/>
        <v>GREEN</v>
      </c>
    </row>
    <row r="23" spans="1:17" s="27" customFormat="1" ht="12.6" x14ac:dyDescent="0.3">
      <c r="A23" s="71"/>
      <c r="B23" s="31">
        <v>14</v>
      </c>
      <c r="C23" s="9" t="s">
        <v>24</v>
      </c>
      <c r="D23" s="9" t="s">
        <v>25</v>
      </c>
      <c r="E23" s="1" t="s">
        <v>69</v>
      </c>
      <c r="F23" s="1"/>
      <c r="G23" s="1">
        <v>4</v>
      </c>
      <c r="H23" s="53">
        <v>72</v>
      </c>
      <c r="I23" s="53">
        <v>48</v>
      </c>
      <c r="J23" s="53">
        <v>24</v>
      </c>
      <c r="K23" s="53">
        <v>0</v>
      </c>
      <c r="L23" s="53">
        <f t="shared" si="1"/>
        <v>24</v>
      </c>
      <c r="M23" s="53">
        <f t="shared" si="2"/>
        <v>100</v>
      </c>
      <c r="N23" s="6">
        <f t="shared" si="0"/>
        <v>0</v>
      </c>
      <c r="O23" s="6" t="s">
        <v>69</v>
      </c>
      <c r="P23" s="6" t="s">
        <v>69</v>
      </c>
      <c r="Q23" s="55" t="str">
        <f t="shared" si="3"/>
        <v>GREEN</v>
      </c>
    </row>
    <row r="24" spans="1:17" s="27" customFormat="1" ht="12.6" x14ac:dyDescent="0.3">
      <c r="A24" s="71"/>
      <c r="B24" s="31"/>
      <c r="C24" s="9" t="s">
        <v>24</v>
      </c>
      <c r="D24" s="9" t="s">
        <v>69</v>
      </c>
      <c r="E24" s="1">
        <v>102070075</v>
      </c>
      <c r="F24" s="1">
        <v>570</v>
      </c>
      <c r="G24" s="1">
        <v>4</v>
      </c>
      <c r="H24" s="53">
        <v>72</v>
      </c>
      <c r="I24" s="53">
        <v>48</v>
      </c>
      <c r="J24" s="53">
        <v>24</v>
      </c>
      <c r="K24" s="53">
        <v>0</v>
      </c>
      <c r="L24" s="53">
        <f t="shared" si="1"/>
        <v>24</v>
      </c>
      <c r="M24" s="53">
        <f t="shared" si="2"/>
        <v>100</v>
      </c>
      <c r="N24" s="6">
        <f t="shared" si="0"/>
        <v>13680</v>
      </c>
      <c r="O24" s="6" t="s">
        <v>69</v>
      </c>
      <c r="P24" s="6" t="s">
        <v>69</v>
      </c>
      <c r="Q24" s="55" t="str">
        <f t="shared" si="3"/>
        <v>GREEN</v>
      </c>
    </row>
    <row r="25" spans="1:17" s="27" customFormat="1" ht="25.2" x14ac:dyDescent="0.3">
      <c r="A25" s="71"/>
      <c r="B25" s="31">
        <v>15</v>
      </c>
      <c r="C25" s="9" t="s">
        <v>26</v>
      </c>
      <c r="D25" s="9" t="s">
        <v>27</v>
      </c>
      <c r="E25" s="1">
        <v>112052060</v>
      </c>
      <c r="F25" s="1">
        <v>1280</v>
      </c>
      <c r="G25" s="1">
        <v>2</v>
      </c>
      <c r="H25" s="53">
        <v>36</v>
      </c>
      <c r="I25" s="53">
        <v>10</v>
      </c>
      <c r="J25" s="53">
        <v>10</v>
      </c>
      <c r="K25" s="53">
        <v>6</v>
      </c>
      <c r="L25" s="53">
        <f t="shared" si="1"/>
        <v>4</v>
      </c>
      <c r="M25" s="53">
        <f t="shared" si="2"/>
        <v>40</v>
      </c>
      <c r="N25" s="6">
        <f t="shared" si="0"/>
        <v>5120</v>
      </c>
      <c r="O25" s="6" t="s">
        <v>69</v>
      </c>
      <c r="P25" s="6" t="s">
        <v>69</v>
      </c>
      <c r="Q25" s="55" t="str">
        <f t="shared" si="3"/>
        <v>RED</v>
      </c>
    </row>
    <row r="26" spans="1:17" s="27" customFormat="1" ht="25.2" x14ac:dyDescent="0.3">
      <c r="A26" s="71"/>
      <c r="B26" s="31">
        <v>16</v>
      </c>
      <c r="C26" s="9" t="s">
        <v>28</v>
      </c>
      <c r="D26" s="9" t="s">
        <v>29</v>
      </c>
      <c r="E26" s="1">
        <v>135008040</v>
      </c>
      <c r="F26" s="1">
        <v>95</v>
      </c>
      <c r="G26" s="1">
        <v>2</v>
      </c>
      <c r="H26" s="53">
        <v>36</v>
      </c>
      <c r="I26" s="53">
        <v>24</v>
      </c>
      <c r="J26" s="53">
        <v>12</v>
      </c>
      <c r="K26" s="53">
        <v>0</v>
      </c>
      <c r="L26" s="53">
        <f t="shared" si="1"/>
        <v>12</v>
      </c>
      <c r="M26" s="53">
        <f t="shared" si="2"/>
        <v>100</v>
      </c>
      <c r="N26" s="6">
        <f t="shared" si="0"/>
        <v>1140</v>
      </c>
      <c r="O26" s="6" t="s">
        <v>69</v>
      </c>
      <c r="P26" s="6" t="s">
        <v>69</v>
      </c>
      <c r="Q26" s="55" t="str">
        <f t="shared" si="3"/>
        <v>GREEN</v>
      </c>
    </row>
    <row r="27" spans="1:17" s="27" customFormat="1" ht="12.6" x14ac:dyDescent="0.3">
      <c r="A27" s="71"/>
      <c r="B27" s="31">
        <v>17</v>
      </c>
      <c r="C27" s="9" t="s">
        <v>63</v>
      </c>
      <c r="D27" s="9">
        <v>10030136</v>
      </c>
      <c r="E27" s="1">
        <v>112507058</v>
      </c>
      <c r="F27" s="1">
        <v>212</v>
      </c>
      <c r="G27" s="1">
        <v>4</v>
      </c>
      <c r="H27" s="53">
        <v>72</v>
      </c>
      <c r="I27" s="53">
        <v>48</v>
      </c>
      <c r="J27" s="53">
        <v>24</v>
      </c>
      <c r="K27" s="53">
        <v>0</v>
      </c>
      <c r="L27" s="53">
        <f t="shared" si="1"/>
        <v>24</v>
      </c>
      <c r="M27" s="53">
        <f t="shared" si="2"/>
        <v>100</v>
      </c>
      <c r="N27" s="6">
        <f t="shared" si="0"/>
        <v>5088</v>
      </c>
      <c r="O27" s="6" t="s">
        <v>69</v>
      </c>
      <c r="P27" s="6" t="s">
        <v>69</v>
      </c>
      <c r="Q27" s="55" t="str">
        <f t="shared" si="3"/>
        <v>GREEN</v>
      </c>
    </row>
    <row r="28" spans="1:17" s="27" customFormat="1" ht="12.6" x14ac:dyDescent="0.3">
      <c r="A28" s="71"/>
      <c r="B28" s="31">
        <v>18</v>
      </c>
      <c r="C28" s="9" t="s">
        <v>30</v>
      </c>
      <c r="D28" s="9" t="s">
        <v>31</v>
      </c>
      <c r="E28" s="1">
        <v>112507051</v>
      </c>
      <c r="F28" s="1">
        <v>58</v>
      </c>
      <c r="G28" s="1">
        <v>2</v>
      </c>
      <c r="H28" s="53">
        <v>36</v>
      </c>
      <c r="I28" s="53">
        <v>24</v>
      </c>
      <c r="J28" s="53">
        <v>12</v>
      </c>
      <c r="K28" s="53">
        <v>0</v>
      </c>
      <c r="L28" s="53">
        <f t="shared" si="1"/>
        <v>12</v>
      </c>
      <c r="M28" s="53">
        <f t="shared" si="2"/>
        <v>100</v>
      </c>
      <c r="N28" s="6">
        <f t="shared" si="0"/>
        <v>696</v>
      </c>
      <c r="O28" s="6" t="s">
        <v>69</v>
      </c>
      <c r="P28" s="6" t="s">
        <v>69</v>
      </c>
      <c r="Q28" s="55" t="str">
        <f t="shared" si="3"/>
        <v>GREEN</v>
      </c>
    </row>
    <row r="29" spans="1:17" s="27" customFormat="1" ht="25.2" x14ac:dyDescent="0.3">
      <c r="A29" s="71"/>
      <c r="B29" s="31">
        <v>19</v>
      </c>
      <c r="C29" s="9" t="s">
        <v>32</v>
      </c>
      <c r="D29" s="9">
        <v>10280786</v>
      </c>
      <c r="E29" s="1">
        <v>112507120</v>
      </c>
      <c r="F29" s="1">
        <v>0</v>
      </c>
      <c r="G29" s="1">
        <v>8</v>
      </c>
      <c r="H29" s="53">
        <v>144</v>
      </c>
      <c r="I29" s="53">
        <v>96</v>
      </c>
      <c r="J29" s="53">
        <v>48</v>
      </c>
      <c r="K29" s="53">
        <v>0</v>
      </c>
      <c r="L29" s="53">
        <f t="shared" si="1"/>
        <v>48</v>
      </c>
      <c r="M29" s="53">
        <f t="shared" si="2"/>
        <v>100</v>
      </c>
      <c r="N29" s="6">
        <f t="shared" si="0"/>
        <v>0</v>
      </c>
      <c r="O29" s="6" t="s">
        <v>69</v>
      </c>
      <c r="P29" s="6" t="s">
        <v>69</v>
      </c>
      <c r="Q29" s="55" t="str">
        <f t="shared" si="3"/>
        <v>GREEN</v>
      </c>
    </row>
    <row r="30" spans="1:17" s="27" customFormat="1" ht="25.2" x14ac:dyDescent="0.3">
      <c r="A30" s="71"/>
      <c r="B30" s="31">
        <v>20</v>
      </c>
      <c r="C30" s="9" t="s">
        <v>33</v>
      </c>
      <c r="D30" s="9">
        <v>10068902</v>
      </c>
      <c r="E30" s="1">
        <v>112507119</v>
      </c>
      <c r="F30" s="1">
        <v>0</v>
      </c>
      <c r="G30" s="1">
        <v>2</v>
      </c>
      <c r="H30" s="53">
        <v>36</v>
      </c>
      <c r="I30" s="53">
        <v>24</v>
      </c>
      <c r="J30" s="53">
        <v>12</v>
      </c>
      <c r="K30" s="53">
        <v>0</v>
      </c>
      <c r="L30" s="53">
        <f t="shared" si="1"/>
        <v>12</v>
      </c>
      <c r="M30" s="53">
        <f t="shared" si="2"/>
        <v>100</v>
      </c>
      <c r="N30" s="6">
        <f t="shared" si="0"/>
        <v>0</v>
      </c>
      <c r="O30" s="6" t="s">
        <v>69</v>
      </c>
      <c r="P30" s="6" t="s">
        <v>69</v>
      </c>
      <c r="Q30" s="55" t="str">
        <f t="shared" si="3"/>
        <v>GREEN</v>
      </c>
    </row>
    <row r="31" spans="1:17" s="27" customFormat="1" ht="12.6" x14ac:dyDescent="0.3">
      <c r="A31" s="71"/>
      <c r="B31" s="31">
        <v>21</v>
      </c>
      <c r="C31" s="9" t="s">
        <v>34</v>
      </c>
      <c r="D31" s="9" t="s">
        <v>35</v>
      </c>
      <c r="E31" s="1">
        <v>112507127</v>
      </c>
      <c r="F31" s="1">
        <v>0</v>
      </c>
      <c r="G31" s="1">
        <v>2</v>
      </c>
      <c r="H31" s="53">
        <v>36</v>
      </c>
      <c r="I31" s="53">
        <v>24</v>
      </c>
      <c r="J31" s="53">
        <v>12</v>
      </c>
      <c r="K31" s="53">
        <v>0</v>
      </c>
      <c r="L31" s="53">
        <f t="shared" si="1"/>
        <v>12</v>
      </c>
      <c r="M31" s="53">
        <f t="shared" si="2"/>
        <v>100</v>
      </c>
      <c r="N31" s="6">
        <f t="shared" si="0"/>
        <v>0</v>
      </c>
      <c r="O31" s="6" t="s">
        <v>69</v>
      </c>
      <c r="P31" s="6" t="s">
        <v>69</v>
      </c>
      <c r="Q31" s="55" t="str">
        <f t="shared" si="3"/>
        <v>GREEN</v>
      </c>
    </row>
    <row r="32" spans="1:17" s="27" customFormat="1" ht="12.6" x14ac:dyDescent="0.3">
      <c r="A32" s="71"/>
      <c r="B32" s="31">
        <v>22</v>
      </c>
      <c r="C32" s="9" t="s">
        <v>36</v>
      </c>
      <c r="D32" s="9">
        <v>10357771</v>
      </c>
      <c r="E32" s="1">
        <v>112507059</v>
      </c>
      <c r="F32" s="1">
        <v>28050</v>
      </c>
      <c r="G32" s="1">
        <v>2</v>
      </c>
      <c r="H32" s="53">
        <v>36</v>
      </c>
      <c r="I32" s="53">
        <v>24</v>
      </c>
      <c r="J32" s="53">
        <v>12</v>
      </c>
      <c r="K32" s="53">
        <v>0</v>
      </c>
      <c r="L32" s="53">
        <f t="shared" si="1"/>
        <v>12</v>
      </c>
      <c r="M32" s="53">
        <f t="shared" si="2"/>
        <v>100</v>
      </c>
      <c r="N32" s="6">
        <f t="shared" si="0"/>
        <v>336600</v>
      </c>
      <c r="O32" s="6" t="s">
        <v>69</v>
      </c>
      <c r="P32" s="6" t="s">
        <v>69</v>
      </c>
      <c r="Q32" s="55" t="str">
        <f t="shared" si="3"/>
        <v>GREEN</v>
      </c>
    </row>
    <row r="33" spans="1:17" s="27" customFormat="1" ht="12.6" x14ac:dyDescent="0.3">
      <c r="A33" s="71"/>
      <c r="B33" s="31">
        <v>23</v>
      </c>
      <c r="C33" s="9" t="s">
        <v>37</v>
      </c>
      <c r="D33" s="9" t="s">
        <v>38</v>
      </c>
      <c r="E33" s="1">
        <v>112052057</v>
      </c>
      <c r="F33" s="1">
        <v>2166</v>
      </c>
      <c r="G33" s="1">
        <v>2</v>
      </c>
      <c r="H33" s="53">
        <v>36</v>
      </c>
      <c r="I33" s="53">
        <v>24</v>
      </c>
      <c r="J33" s="53">
        <v>12</v>
      </c>
      <c r="K33" s="53">
        <v>0</v>
      </c>
      <c r="L33" s="53">
        <f t="shared" si="1"/>
        <v>12</v>
      </c>
      <c r="M33" s="53">
        <f t="shared" si="2"/>
        <v>100</v>
      </c>
      <c r="N33" s="6">
        <f t="shared" si="0"/>
        <v>25992</v>
      </c>
      <c r="O33" s="6" t="s">
        <v>69</v>
      </c>
      <c r="P33" s="6" t="s">
        <v>69</v>
      </c>
      <c r="Q33" s="55" t="str">
        <f t="shared" si="3"/>
        <v>GREEN</v>
      </c>
    </row>
    <row r="34" spans="1:17" s="27" customFormat="1" ht="12.6" x14ac:dyDescent="0.3">
      <c r="A34" s="71"/>
      <c r="B34" s="31">
        <v>24</v>
      </c>
      <c r="C34" s="32" t="s">
        <v>39</v>
      </c>
      <c r="D34" s="9" t="s">
        <v>40</v>
      </c>
      <c r="E34" s="1">
        <v>112052059</v>
      </c>
      <c r="F34" s="1">
        <v>2166</v>
      </c>
      <c r="G34" s="1">
        <v>2</v>
      </c>
      <c r="H34" s="53">
        <v>36</v>
      </c>
      <c r="I34" s="53">
        <v>24</v>
      </c>
      <c r="J34" s="53">
        <v>12</v>
      </c>
      <c r="K34" s="53">
        <v>0</v>
      </c>
      <c r="L34" s="53">
        <f t="shared" si="1"/>
        <v>12</v>
      </c>
      <c r="M34" s="53">
        <f t="shared" si="2"/>
        <v>100</v>
      </c>
      <c r="N34" s="6">
        <f t="shared" si="0"/>
        <v>25992</v>
      </c>
      <c r="O34" s="6" t="s">
        <v>69</v>
      </c>
      <c r="P34" s="6" t="s">
        <v>69</v>
      </c>
      <c r="Q34" s="55" t="str">
        <f t="shared" si="3"/>
        <v>GREEN</v>
      </c>
    </row>
    <row r="35" spans="1:17" s="27" customFormat="1" ht="12.6" x14ac:dyDescent="0.3">
      <c r="A35" s="71"/>
      <c r="B35" s="31">
        <v>25</v>
      </c>
      <c r="C35" s="34" t="s">
        <v>41</v>
      </c>
      <c r="D35" s="9" t="s">
        <v>42</v>
      </c>
      <c r="E35" s="1">
        <v>112507116</v>
      </c>
      <c r="F35" s="1">
        <v>5850</v>
      </c>
      <c r="G35" s="1">
        <v>2</v>
      </c>
      <c r="H35" s="53">
        <v>36</v>
      </c>
      <c r="I35" s="53">
        <v>24</v>
      </c>
      <c r="J35" s="53">
        <v>12</v>
      </c>
      <c r="K35" s="53">
        <v>0</v>
      </c>
      <c r="L35" s="53">
        <f t="shared" si="1"/>
        <v>12</v>
      </c>
      <c r="M35" s="53">
        <f t="shared" si="2"/>
        <v>100</v>
      </c>
      <c r="N35" s="6">
        <f t="shared" si="0"/>
        <v>70200</v>
      </c>
      <c r="O35" s="6" t="s">
        <v>69</v>
      </c>
      <c r="P35" s="6" t="s">
        <v>69</v>
      </c>
      <c r="Q35" s="55" t="str">
        <f t="shared" si="3"/>
        <v>GREEN</v>
      </c>
    </row>
    <row r="36" spans="1:17" s="27" customFormat="1" ht="12.6" x14ac:dyDescent="0.3">
      <c r="A36" s="71"/>
      <c r="B36" s="31">
        <v>26</v>
      </c>
      <c r="C36" s="9" t="s">
        <v>43</v>
      </c>
      <c r="D36" s="9" t="s">
        <v>44</v>
      </c>
      <c r="E36" s="1">
        <v>112052053</v>
      </c>
      <c r="F36" s="1">
        <v>5600</v>
      </c>
      <c r="G36" s="1">
        <v>2</v>
      </c>
      <c r="H36" s="53">
        <v>36</v>
      </c>
      <c r="I36" s="53">
        <v>24</v>
      </c>
      <c r="J36" s="53">
        <v>12</v>
      </c>
      <c r="K36" s="53">
        <v>0</v>
      </c>
      <c r="L36" s="53">
        <f t="shared" si="1"/>
        <v>12</v>
      </c>
      <c r="M36" s="53">
        <f t="shared" si="2"/>
        <v>100</v>
      </c>
      <c r="N36" s="6">
        <f t="shared" si="0"/>
        <v>67200</v>
      </c>
      <c r="O36" s="6" t="s">
        <v>69</v>
      </c>
      <c r="P36" s="6" t="s">
        <v>69</v>
      </c>
      <c r="Q36" s="55" t="str">
        <f t="shared" si="3"/>
        <v>GREEN</v>
      </c>
    </row>
    <row r="37" spans="1:17" s="27" customFormat="1" ht="12.6" x14ac:dyDescent="0.3">
      <c r="A37" s="71"/>
      <c r="B37" s="31">
        <v>27</v>
      </c>
      <c r="C37" s="32" t="s">
        <v>45</v>
      </c>
      <c r="D37" s="9" t="s">
        <v>46</v>
      </c>
      <c r="E37" s="1">
        <v>112507115</v>
      </c>
      <c r="F37" s="1">
        <v>5600</v>
      </c>
      <c r="G37" s="1">
        <v>2</v>
      </c>
      <c r="H37" s="53">
        <v>36</v>
      </c>
      <c r="I37" s="53">
        <v>24</v>
      </c>
      <c r="J37" s="53">
        <v>12</v>
      </c>
      <c r="K37" s="53">
        <v>0</v>
      </c>
      <c r="L37" s="53">
        <f t="shared" si="1"/>
        <v>12</v>
      </c>
      <c r="M37" s="53">
        <f t="shared" si="2"/>
        <v>100</v>
      </c>
      <c r="N37" s="6">
        <f t="shared" si="0"/>
        <v>67200</v>
      </c>
      <c r="O37" s="6" t="s">
        <v>69</v>
      </c>
      <c r="P37" s="6" t="s">
        <v>69</v>
      </c>
      <c r="Q37" s="55" t="str">
        <f t="shared" si="3"/>
        <v>GREEN</v>
      </c>
    </row>
    <row r="38" spans="1:17" s="27" customFormat="1" ht="12.6" x14ac:dyDescent="0.3">
      <c r="A38" s="71"/>
      <c r="B38" s="31">
        <v>28</v>
      </c>
      <c r="C38" s="32" t="s">
        <v>47</v>
      </c>
      <c r="D38" s="9" t="s">
        <v>48</v>
      </c>
      <c r="E38" s="1">
        <v>112052055</v>
      </c>
      <c r="F38" s="1">
        <v>5600</v>
      </c>
      <c r="G38" s="1">
        <v>2</v>
      </c>
      <c r="H38" s="53">
        <v>36</v>
      </c>
      <c r="I38" s="53">
        <v>24</v>
      </c>
      <c r="J38" s="53">
        <v>12</v>
      </c>
      <c r="K38" s="53">
        <v>0</v>
      </c>
      <c r="L38" s="53">
        <f t="shared" si="1"/>
        <v>12</v>
      </c>
      <c r="M38" s="53">
        <f t="shared" si="2"/>
        <v>100</v>
      </c>
      <c r="N38" s="6">
        <f t="shared" si="0"/>
        <v>67200</v>
      </c>
      <c r="O38" s="6" t="s">
        <v>69</v>
      </c>
      <c r="P38" s="6" t="s">
        <v>69</v>
      </c>
      <c r="Q38" s="55" t="str">
        <f t="shared" si="3"/>
        <v>GREEN</v>
      </c>
    </row>
    <row r="39" spans="1:17" s="27" customFormat="1" ht="12.6" x14ac:dyDescent="0.3">
      <c r="A39" s="71"/>
      <c r="B39" s="31">
        <v>29</v>
      </c>
      <c r="C39" s="32" t="s">
        <v>49</v>
      </c>
      <c r="D39" s="9" t="s">
        <v>50</v>
      </c>
      <c r="E39" s="1">
        <v>112507117</v>
      </c>
      <c r="F39" s="1">
        <v>5850</v>
      </c>
      <c r="G39" s="1">
        <v>2</v>
      </c>
      <c r="H39" s="53">
        <v>36</v>
      </c>
      <c r="I39" s="53">
        <v>24</v>
      </c>
      <c r="J39" s="53">
        <v>12</v>
      </c>
      <c r="K39" s="53">
        <v>0</v>
      </c>
      <c r="L39" s="53">
        <f t="shared" si="1"/>
        <v>12</v>
      </c>
      <c r="M39" s="53">
        <f t="shared" si="2"/>
        <v>100</v>
      </c>
      <c r="N39" s="6">
        <f t="shared" si="0"/>
        <v>70200</v>
      </c>
      <c r="O39" s="6" t="s">
        <v>69</v>
      </c>
      <c r="P39" s="6" t="s">
        <v>69</v>
      </c>
      <c r="Q39" s="55" t="str">
        <f t="shared" si="3"/>
        <v>GREEN</v>
      </c>
    </row>
    <row r="40" spans="1:17" s="27" customFormat="1" ht="12.6" x14ac:dyDescent="0.3">
      <c r="A40" s="71"/>
      <c r="B40" s="31">
        <v>30</v>
      </c>
      <c r="C40" s="32" t="s">
        <v>51</v>
      </c>
      <c r="D40" s="9">
        <v>10317339</v>
      </c>
      <c r="E40" s="1">
        <v>112500586</v>
      </c>
      <c r="F40" s="1">
        <v>78905</v>
      </c>
      <c r="G40" s="1">
        <v>1</v>
      </c>
      <c r="H40" s="53">
        <v>18</v>
      </c>
      <c r="I40" s="53">
        <v>8</v>
      </c>
      <c r="J40" s="53">
        <v>6</v>
      </c>
      <c r="K40" s="53">
        <v>2</v>
      </c>
      <c r="L40" s="53">
        <f t="shared" si="1"/>
        <v>4</v>
      </c>
      <c r="M40" s="53">
        <f t="shared" si="2"/>
        <v>66.666666666666657</v>
      </c>
      <c r="N40" s="6">
        <f t="shared" si="0"/>
        <v>315620</v>
      </c>
      <c r="O40" s="6" t="s">
        <v>69</v>
      </c>
      <c r="P40" s="6" t="s">
        <v>69</v>
      </c>
      <c r="Q40" s="55" t="str">
        <f t="shared" si="3"/>
        <v>YELLOW</v>
      </c>
    </row>
    <row r="41" spans="1:17" s="27" customFormat="1" ht="25.2" x14ac:dyDescent="0.3">
      <c r="A41" s="71"/>
      <c r="B41" s="31">
        <v>31</v>
      </c>
      <c r="C41" s="9" t="s">
        <v>52</v>
      </c>
      <c r="D41" s="9" t="s">
        <v>53</v>
      </c>
      <c r="E41" s="1">
        <v>135009964</v>
      </c>
      <c r="F41" s="1">
        <v>1165</v>
      </c>
      <c r="G41" s="1">
        <v>2</v>
      </c>
      <c r="H41" s="53">
        <v>36</v>
      </c>
      <c r="I41" s="53">
        <v>24</v>
      </c>
      <c r="J41" s="53">
        <v>12</v>
      </c>
      <c r="K41" s="53">
        <v>0</v>
      </c>
      <c r="L41" s="53">
        <f t="shared" si="1"/>
        <v>12</v>
      </c>
      <c r="M41" s="53">
        <f t="shared" si="2"/>
        <v>100</v>
      </c>
      <c r="N41" s="6">
        <f t="shared" si="0"/>
        <v>13980</v>
      </c>
      <c r="O41" s="6" t="s">
        <v>69</v>
      </c>
      <c r="P41" s="6" t="s">
        <v>69</v>
      </c>
      <c r="Q41" s="55" t="str">
        <f t="shared" si="3"/>
        <v>GREEN</v>
      </c>
    </row>
    <row r="42" spans="1:17" s="27" customFormat="1" ht="25.2" x14ac:dyDescent="0.3">
      <c r="A42" s="71"/>
      <c r="B42" s="31">
        <v>32</v>
      </c>
      <c r="C42" s="32" t="s">
        <v>39</v>
      </c>
      <c r="D42" s="9" t="s">
        <v>54</v>
      </c>
      <c r="E42" s="1">
        <v>135009966</v>
      </c>
      <c r="F42" s="1">
        <v>1165</v>
      </c>
      <c r="G42" s="1">
        <v>2</v>
      </c>
      <c r="H42" s="53">
        <v>36</v>
      </c>
      <c r="I42" s="53">
        <v>24</v>
      </c>
      <c r="J42" s="53">
        <v>12</v>
      </c>
      <c r="K42" s="53">
        <v>0</v>
      </c>
      <c r="L42" s="53">
        <f t="shared" si="1"/>
        <v>12</v>
      </c>
      <c r="M42" s="53">
        <f t="shared" si="2"/>
        <v>100</v>
      </c>
      <c r="N42" s="6">
        <f t="shared" si="0"/>
        <v>13980</v>
      </c>
      <c r="O42" s="6" t="s">
        <v>69</v>
      </c>
      <c r="P42" s="6" t="s">
        <v>69</v>
      </c>
      <c r="Q42" s="55" t="str">
        <f t="shared" si="3"/>
        <v>GREEN</v>
      </c>
    </row>
    <row r="43" spans="1:17" s="27" customFormat="1" ht="25.2" x14ac:dyDescent="0.3">
      <c r="A43" s="71"/>
      <c r="B43" s="31">
        <v>33</v>
      </c>
      <c r="C43" s="32" t="s">
        <v>55</v>
      </c>
      <c r="D43" s="9" t="s">
        <v>56</v>
      </c>
      <c r="E43" s="1">
        <v>135000262</v>
      </c>
      <c r="F43" s="1">
        <v>4750</v>
      </c>
      <c r="G43" s="1">
        <v>2</v>
      </c>
      <c r="H43" s="53">
        <v>36</v>
      </c>
      <c r="I43" s="53">
        <v>24</v>
      </c>
      <c r="J43" s="53">
        <v>12</v>
      </c>
      <c r="K43" s="53">
        <v>0</v>
      </c>
      <c r="L43" s="53">
        <f t="shared" si="1"/>
        <v>12</v>
      </c>
      <c r="M43" s="53">
        <f t="shared" si="2"/>
        <v>100</v>
      </c>
      <c r="N43" s="6">
        <f t="shared" si="0"/>
        <v>57000</v>
      </c>
      <c r="O43" s="6" t="s">
        <v>69</v>
      </c>
      <c r="P43" s="6" t="s">
        <v>69</v>
      </c>
      <c r="Q43" s="55" t="str">
        <f t="shared" si="3"/>
        <v>GREEN</v>
      </c>
    </row>
    <row r="44" spans="1:17" s="27" customFormat="1" ht="25.2" x14ac:dyDescent="0.3">
      <c r="A44" s="71"/>
      <c r="B44" s="31">
        <v>34</v>
      </c>
      <c r="C44" s="32" t="s">
        <v>57</v>
      </c>
      <c r="D44" s="9" t="s">
        <v>58</v>
      </c>
      <c r="E44" s="1">
        <v>135000263</v>
      </c>
      <c r="F44" s="1">
        <v>4750</v>
      </c>
      <c r="G44" s="1">
        <v>2</v>
      </c>
      <c r="H44" s="53">
        <v>36</v>
      </c>
      <c r="I44" s="53">
        <v>24</v>
      </c>
      <c r="J44" s="53">
        <v>12</v>
      </c>
      <c r="K44" s="53">
        <v>0</v>
      </c>
      <c r="L44" s="53">
        <f t="shared" si="1"/>
        <v>12</v>
      </c>
      <c r="M44" s="53">
        <f t="shared" si="2"/>
        <v>100</v>
      </c>
      <c r="N44" s="6">
        <f t="shared" si="0"/>
        <v>57000</v>
      </c>
      <c r="O44" s="6" t="s">
        <v>69</v>
      </c>
      <c r="P44" s="6" t="s">
        <v>69</v>
      </c>
      <c r="Q44" s="55" t="str">
        <f t="shared" si="3"/>
        <v>GREEN</v>
      </c>
    </row>
    <row r="45" spans="1:17" s="27" customFormat="1" ht="25.2" x14ac:dyDescent="0.3">
      <c r="A45" s="71"/>
      <c r="B45" s="31">
        <v>35</v>
      </c>
      <c r="C45" s="32" t="s">
        <v>59</v>
      </c>
      <c r="D45" s="9" t="s">
        <v>60</v>
      </c>
      <c r="E45" s="1">
        <v>135008112</v>
      </c>
      <c r="F45" s="1">
        <v>0</v>
      </c>
      <c r="G45" s="9">
        <v>2</v>
      </c>
      <c r="H45" s="53">
        <v>36</v>
      </c>
      <c r="I45" s="53">
        <v>24</v>
      </c>
      <c r="J45" s="53">
        <v>12</v>
      </c>
      <c r="K45" s="53">
        <v>0</v>
      </c>
      <c r="L45" s="53">
        <f t="shared" si="1"/>
        <v>12</v>
      </c>
      <c r="M45" s="53">
        <f t="shared" si="2"/>
        <v>100</v>
      </c>
      <c r="N45" s="6">
        <f t="shared" si="0"/>
        <v>0</v>
      </c>
      <c r="O45" s="6" t="s">
        <v>69</v>
      </c>
      <c r="P45" s="6" t="s">
        <v>69</v>
      </c>
      <c r="Q45" s="55" t="str">
        <f t="shared" si="3"/>
        <v>GREEN</v>
      </c>
    </row>
    <row r="46" spans="1:17" s="56" customFormat="1" ht="15.6" x14ac:dyDescent="0.3">
      <c r="A46" s="58" t="s">
        <v>271</v>
      </c>
      <c r="B46" s="59" t="s">
        <v>271</v>
      </c>
      <c r="C46" s="59" t="s">
        <v>271</v>
      </c>
      <c r="D46" s="59" t="s">
        <v>271</v>
      </c>
      <c r="E46" s="59" t="s">
        <v>271</v>
      </c>
      <c r="F46" s="59" t="s">
        <v>271</v>
      </c>
      <c r="G46" s="59" t="s">
        <v>271</v>
      </c>
      <c r="H46" s="59" t="s">
        <v>271</v>
      </c>
      <c r="I46" s="59" t="s">
        <v>271</v>
      </c>
      <c r="J46" s="59" t="s">
        <v>271</v>
      </c>
      <c r="K46" s="59" t="s">
        <v>271</v>
      </c>
      <c r="L46" s="59" t="s">
        <v>271</v>
      </c>
      <c r="M46" s="59" t="s">
        <v>271</v>
      </c>
      <c r="N46" s="59" t="s">
        <v>271</v>
      </c>
      <c r="O46" s="59" t="s">
        <v>271</v>
      </c>
      <c r="P46" s="59" t="s">
        <v>271</v>
      </c>
      <c r="Q46" s="59" t="s">
        <v>271</v>
      </c>
    </row>
    <row r="47" spans="1:17" s="27" customFormat="1" ht="12.6" x14ac:dyDescent="0.3">
      <c r="A47" s="71" t="s">
        <v>71</v>
      </c>
      <c r="B47" s="31">
        <v>37</v>
      </c>
      <c r="C47" s="9" t="s">
        <v>72</v>
      </c>
      <c r="D47" s="1">
        <v>10284280</v>
      </c>
      <c r="E47" s="1">
        <v>112507024</v>
      </c>
      <c r="F47" s="1">
        <v>47142</v>
      </c>
      <c r="G47" s="1">
        <v>1</v>
      </c>
      <c r="H47" s="53">
        <v>9</v>
      </c>
      <c r="I47" s="53">
        <v>0</v>
      </c>
      <c r="J47" s="53">
        <v>5</v>
      </c>
      <c r="K47" s="53">
        <v>0</v>
      </c>
      <c r="L47" s="53">
        <f t="shared" si="1"/>
        <v>5</v>
      </c>
      <c r="M47" s="53">
        <f t="shared" si="2"/>
        <v>100</v>
      </c>
      <c r="N47" s="6">
        <f t="shared" ref="N47:N84" si="4">L47*F47</f>
        <v>235710</v>
      </c>
      <c r="O47" s="6" t="s">
        <v>69</v>
      </c>
      <c r="P47" s="6" t="s">
        <v>69</v>
      </c>
      <c r="Q47" s="55" t="str">
        <f t="shared" si="3"/>
        <v>YELLOW</v>
      </c>
    </row>
    <row r="48" spans="1:17" s="27" customFormat="1" ht="12.6" x14ac:dyDescent="0.3">
      <c r="A48" s="71"/>
      <c r="B48" s="31">
        <v>38</v>
      </c>
      <c r="C48" s="9" t="s">
        <v>73</v>
      </c>
      <c r="D48" s="1">
        <v>10284282</v>
      </c>
      <c r="E48" s="1">
        <v>112507023</v>
      </c>
      <c r="F48" s="1">
        <v>23086</v>
      </c>
      <c r="G48" s="1">
        <v>1</v>
      </c>
      <c r="H48" s="53">
        <v>9</v>
      </c>
      <c r="I48" s="53">
        <v>6</v>
      </c>
      <c r="J48" s="53">
        <v>3</v>
      </c>
      <c r="K48" s="53">
        <v>0</v>
      </c>
      <c r="L48" s="53">
        <f t="shared" si="1"/>
        <v>3</v>
      </c>
      <c r="M48" s="53">
        <f t="shared" si="2"/>
        <v>100</v>
      </c>
      <c r="N48" s="6">
        <f t="shared" si="4"/>
        <v>69258</v>
      </c>
      <c r="O48" s="6" t="s">
        <v>69</v>
      </c>
      <c r="P48" s="6" t="s">
        <v>69</v>
      </c>
      <c r="Q48" s="55" t="str">
        <f t="shared" si="3"/>
        <v>GREEN</v>
      </c>
    </row>
    <row r="49" spans="1:17" s="27" customFormat="1" ht="12.6" x14ac:dyDescent="0.3">
      <c r="A49" s="71"/>
      <c r="B49" s="31">
        <v>39</v>
      </c>
      <c r="C49" s="9" t="s">
        <v>74</v>
      </c>
      <c r="D49" s="1">
        <v>10284284</v>
      </c>
      <c r="E49" s="1">
        <v>112507006</v>
      </c>
      <c r="F49" s="1">
        <v>14356</v>
      </c>
      <c r="G49" s="1">
        <v>2</v>
      </c>
      <c r="H49" s="53">
        <v>18</v>
      </c>
      <c r="I49" s="53">
        <v>12</v>
      </c>
      <c r="J49" s="53">
        <v>6</v>
      </c>
      <c r="K49" s="53">
        <v>0</v>
      </c>
      <c r="L49" s="53">
        <f t="shared" si="1"/>
        <v>6</v>
      </c>
      <c r="M49" s="53">
        <f t="shared" si="2"/>
        <v>100</v>
      </c>
      <c r="N49" s="6">
        <f t="shared" si="4"/>
        <v>86136</v>
      </c>
      <c r="O49" s="6" t="s">
        <v>69</v>
      </c>
      <c r="P49" s="6" t="s">
        <v>69</v>
      </c>
      <c r="Q49" s="55" t="str">
        <f t="shared" si="3"/>
        <v>GREEN</v>
      </c>
    </row>
    <row r="50" spans="1:17" s="27" customFormat="1" ht="12.6" x14ac:dyDescent="0.3">
      <c r="A50" s="71"/>
      <c r="B50" s="31">
        <v>40</v>
      </c>
      <c r="C50" s="9" t="s">
        <v>75</v>
      </c>
      <c r="D50" s="1">
        <v>10283949</v>
      </c>
      <c r="E50" s="1">
        <v>112507009</v>
      </c>
      <c r="F50" s="1">
        <v>699</v>
      </c>
      <c r="G50" s="1">
        <v>2</v>
      </c>
      <c r="H50" s="53">
        <v>18</v>
      </c>
      <c r="I50" s="53">
        <v>12</v>
      </c>
      <c r="J50" s="53">
        <v>6</v>
      </c>
      <c r="K50" s="53">
        <v>0</v>
      </c>
      <c r="L50" s="53">
        <f t="shared" si="1"/>
        <v>6</v>
      </c>
      <c r="M50" s="53">
        <f t="shared" si="2"/>
        <v>100</v>
      </c>
      <c r="N50" s="6">
        <f t="shared" si="4"/>
        <v>4194</v>
      </c>
      <c r="O50" s="6" t="s">
        <v>69</v>
      </c>
      <c r="P50" s="6" t="s">
        <v>69</v>
      </c>
      <c r="Q50" s="55" t="str">
        <f t="shared" si="3"/>
        <v>GREEN</v>
      </c>
    </row>
    <row r="51" spans="1:17" s="27" customFormat="1" ht="12.6" x14ac:dyDescent="0.3">
      <c r="A51" s="71"/>
      <c r="B51" s="31">
        <v>41</v>
      </c>
      <c r="C51" s="9" t="s">
        <v>76</v>
      </c>
      <c r="D51" s="1">
        <v>10284285</v>
      </c>
      <c r="E51" s="1">
        <v>112507007</v>
      </c>
      <c r="F51" s="1">
        <v>1508</v>
      </c>
      <c r="G51" s="1">
        <v>1</v>
      </c>
      <c r="H51" s="53">
        <v>9</v>
      </c>
      <c r="I51" s="53">
        <v>6</v>
      </c>
      <c r="J51" s="53">
        <v>3</v>
      </c>
      <c r="K51" s="53">
        <v>0</v>
      </c>
      <c r="L51" s="53">
        <f t="shared" si="1"/>
        <v>3</v>
      </c>
      <c r="M51" s="53">
        <f t="shared" si="2"/>
        <v>100</v>
      </c>
      <c r="N51" s="6">
        <f t="shared" si="4"/>
        <v>4524</v>
      </c>
      <c r="O51" s="6" t="s">
        <v>69</v>
      </c>
      <c r="P51" s="6" t="s">
        <v>69</v>
      </c>
      <c r="Q51" s="55" t="str">
        <f t="shared" si="3"/>
        <v>GREEN</v>
      </c>
    </row>
    <row r="52" spans="1:17" s="27" customFormat="1" ht="12.6" x14ac:dyDescent="0.3">
      <c r="A52" s="71"/>
      <c r="B52" s="31">
        <v>42</v>
      </c>
      <c r="C52" s="9" t="s">
        <v>77</v>
      </c>
      <c r="D52" s="1" t="s">
        <v>109</v>
      </c>
      <c r="E52" s="1">
        <v>112507022</v>
      </c>
      <c r="F52" s="1">
        <v>424</v>
      </c>
      <c r="G52" s="1">
        <v>2</v>
      </c>
      <c r="H52" s="53">
        <v>18</v>
      </c>
      <c r="I52" s="53">
        <v>12</v>
      </c>
      <c r="J52" s="53">
        <v>6</v>
      </c>
      <c r="K52" s="53">
        <v>0</v>
      </c>
      <c r="L52" s="53">
        <f t="shared" si="1"/>
        <v>6</v>
      </c>
      <c r="M52" s="53">
        <f t="shared" si="2"/>
        <v>100</v>
      </c>
      <c r="N52" s="6">
        <f t="shared" si="4"/>
        <v>2544</v>
      </c>
      <c r="O52" s="6" t="s">
        <v>69</v>
      </c>
      <c r="P52" s="6" t="s">
        <v>69</v>
      </c>
      <c r="Q52" s="55" t="str">
        <f t="shared" si="3"/>
        <v>GREEN</v>
      </c>
    </row>
    <row r="53" spans="1:17" s="27" customFormat="1" ht="12.6" x14ac:dyDescent="0.3">
      <c r="A53" s="71"/>
      <c r="B53" s="31">
        <v>43</v>
      </c>
      <c r="C53" s="9" t="s">
        <v>78</v>
      </c>
      <c r="D53" s="1">
        <v>10284286</v>
      </c>
      <c r="E53" s="1">
        <v>112507004</v>
      </c>
      <c r="F53" s="1">
        <v>966</v>
      </c>
      <c r="G53" s="1">
        <v>1</v>
      </c>
      <c r="H53" s="53">
        <v>9</v>
      </c>
      <c r="I53" s="53">
        <v>6</v>
      </c>
      <c r="J53" s="53">
        <v>3</v>
      </c>
      <c r="K53" s="53">
        <v>0</v>
      </c>
      <c r="L53" s="53">
        <f t="shared" si="1"/>
        <v>3</v>
      </c>
      <c r="M53" s="53">
        <f t="shared" si="2"/>
        <v>100</v>
      </c>
      <c r="N53" s="6">
        <f t="shared" si="4"/>
        <v>2898</v>
      </c>
      <c r="O53" s="6" t="s">
        <v>69</v>
      </c>
      <c r="P53" s="6" t="s">
        <v>69</v>
      </c>
      <c r="Q53" s="55" t="str">
        <f t="shared" si="3"/>
        <v>GREEN</v>
      </c>
    </row>
    <row r="54" spans="1:17" s="27" customFormat="1" ht="12.6" x14ac:dyDescent="0.3">
      <c r="A54" s="71"/>
      <c r="B54" s="31">
        <v>44</v>
      </c>
      <c r="C54" s="9" t="s">
        <v>79</v>
      </c>
      <c r="D54" s="1">
        <v>10284295</v>
      </c>
      <c r="E54" s="1">
        <v>112507001</v>
      </c>
      <c r="F54" s="1">
        <v>1564</v>
      </c>
      <c r="G54" s="1">
        <v>2</v>
      </c>
      <c r="H54" s="53">
        <v>18</v>
      </c>
      <c r="I54" s="53">
        <v>5</v>
      </c>
      <c r="J54" s="53">
        <v>6</v>
      </c>
      <c r="K54" s="53">
        <v>3</v>
      </c>
      <c r="L54" s="53">
        <f t="shared" si="1"/>
        <v>3</v>
      </c>
      <c r="M54" s="53">
        <f t="shared" si="2"/>
        <v>50</v>
      </c>
      <c r="N54" s="6">
        <f t="shared" si="4"/>
        <v>4692</v>
      </c>
      <c r="O54" s="6" t="s">
        <v>69</v>
      </c>
      <c r="P54" s="6" t="s">
        <v>69</v>
      </c>
      <c r="Q54" s="55" t="str">
        <f t="shared" si="3"/>
        <v>RED</v>
      </c>
    </row>
    <row r="55" spans="1:17" s="27" customFormat="1" ht="12.6" x14ac:dyDescent="0.3">
      <c r="A55" s="71"/>
      <c r="B55" s="31">
        <v>45</v>
      </c>
      <c r="C55" s="9" t="s">
        <v>80</v>
      </c>
      <c r="D55" s="1">
        <v>10284289</v>
      </c>
      <c r="E55" s="1">
        <v>112507020</v>
      </c>
      <c r="F55" s="1">
        <v>494</v>
      </c>
      <c r="G55" s="1">
        <v>1</v>
      </c>
      <c r="H55" s="53">
        <v>9</v>
      </c>
      <c r="I55" s="53">
        <v>6</v>
      </c>
      <c r="J55" s="53">
        <v>3</v>
      </c>
      <c r="K55" s="53">
        <v>0</v>
      </c>
      <c r="L55" s="53">
        <f t="shared" si="1"/>
        <v>3</v>
      </c>
      <c r="M55" s="53">
        <f t="shared" si="2"/>
        <v>100</v>
      </c>
      <c r="N55" s="6">
        <f t="shared" si="4"/>
        <v>1482</v>
      </c>
      <c r="O55" s="6" t="s">
        <v>69</v>
      </c>
      <c r="P55" s="6" t="s">
        <v>69</v>
      </c>
      <c r="Q55" s="55" t="str">
        <f t="shared" si="3"/>
        <v>GREEN</v>
      </c>
    </row>
    <row r="56" spans="1:17" s="27" customFormat="1" ht="12.6" x14ac:dyDescent="0.3">
      <c r="A56" s="71"/>
      <c r="B56" s="31">
        <v>46</v>
      </c>
      <c r="C56" s="9" t="s">
        <v>81</v>
      </c>
      <c r="D56" s="1">
        <v>10284293</v>
      </c>
      <c r="E56" s="1">
        <v>112507021</v>
      </c>
      <c r="F56" s="1">
        <v>848</v>
      </c>
      <c r="G56" s="1">
        <v>1</v>
      </c>
      <c r="H56" s="53">
        <v>9</v>
      </c>
      <c r="I56" s="53">
        <v>6</v>
      </c>
      <c r="J56" s="53">
        <v>3</v>
      </c>
      <c r="K56" s="53">
        <v>0</v>
      </c>
      <c r="L56" s="53">
        <f t="shared" si="1"/>
        <v>3</v>
      </c>
      <c r="M56" s="53">
        <f t="shared" si="2"/>
        <v>100</v>
      </c>
      <c r="N56" s="6">
        <f t="shared" si="4"/>
        <v>2544</v>
      </c>
      <c r="O56" s="6" t="s">
        <v>69</v>
      </c>
      <c r="P56" s="6" t="s">
        <v>69</v>
      </c>
      <c r="Q56" s="55" t="str">
        <f t="shared" si="3"/>
        <v>GREEN</v>
      </c>
    </row>
    <row r="57" spans="1:17" s="27" customFormat="1" ht="12.6" x14ac:dyDescent="0.3">
      <c r="A57" s="71"/>
      <c r="B57" s="31">
        <v>47</v>
      </c>
      <c r="C57" s="9" t="s">
        <v>82</v>
      </c>
      <c r="D57" s="1">
        <v>10283961</v>
      </c>
      <c r="E57" s="1">
        <v>112507010</v>
      </c>
      <c r="F57" s="1">
        <v>3864</v>
      </c>
      <c r="G57" s="1">
        <v>2</v>
      </c>
      <c r="H57" s="53">
        <v>18</v>
      </c>
      <c r="I57" s="53">
        <v>12</v>
      </c>
      <c r="J57" s="53">
        <v>6</v>
      </c>
      <c r="K57" s="53">
        <v>0</v>
      </c>
      <c r="L57" s="53">
        <f t="shared" si="1"/>
        <v>6</v>
      </c>
      <c r="M57" s="53">
        <f t="shared" si="2"/>
        <v>100</v>
      </c>
      <c r="N57" s="6">
        <f t="shared" si="4"/>
        <v>23184</v>
      </c>
      <c r="O57" s="6" t="s">
        <v>69</v>
      </c>
      <c r="P57" s="6" t="s">
        <v>69</v>
      </c>
      <c r="Q57" s="55" t="str">
        <f t="shared" si="3"/>
        <v>GREEN</v>
      </c>
    </row>
    <row r="58" spans="1:17" s="27" customFormat="1" ht="12.6" x14ac:dyDescent="0.3">
      <c r="A58" s="71"/>
      <c r="B58" s="31">
        <v>48</v>
      </c>
      <c r="C58" s="9" t="s">
        <v>83</v>
      </c>
      <c r="D58" s="1">
        <v>10214224</v>
      </c>
      <c r="E58" s="1">
        <v>102070091</v>
      </c>
      <c r="F58" s="1">
        <v>1350</v>
      </c>
      <c r="G58" s="1">
        <v>4</v>
      </c>
      <c r="H58" s="53">
        <v>36</v>
      </c>
      <c r="I58" s="53">
        <v>24</v>
      </c>
      <c r="J58" s="53">
        <v>12</v>
      </c>
      <c r="K58" s="53">
        <v>0</v>
      </c>
      <c r="L58" s="53">
        <f t="shared" si="1"/>
        <v>12</v>
      </c>
      <c r="M58" s="53">
        <f t="shared" si="2"/>
        <v>100</v>
      </c>
      <c r="N58" s="6">
        <f t="shared" si="4"/>
        <v>16200</v>
      </c>
      <c r="O58" s="6" t="s">
        <v>69</v>
      </c>
      <c r="P58" s="6" t="s">
        <v>69</v>
      </c>
      <c r="Q58" s="55" t="str">
        <f t="shared" si="3"/>
        <v>GREEN</v>
      </c>
    </row>
    <row r="59" spans="1:17" s="27" customFormat="1" ht="12.6" x14ac:dyDescent="0.3">
      <c r="A59" s="71"/>
      <c r="B59" s="31">
        <v>49</v>
      </c>
      <c r="C59" s="9" t="s">
        <v>115</v>
      </c>
      <c r="D59" s="1">
        <v>10284290</v>
      </c>
      <c r="E59" s="1">
        <v>112507019</v>
      </c>
      <c r="F59" s="1">
        <v>424</v>
      </c>
      <c r="G59" s="1">
        <v>4</v>
      </c>
      <c r="H59" s="53">
        <v>36</v>
      </c>
      <c r="I59" s="53">
        <v>24</v>
      </c>
      <c r="J59" s="53">
        <v>12</v>
      </c>
      <c r="K59" s="53">
        <v>0</v>
      </c>
      <c r="L59" s="53">
        <f t="shared" si="1"/>
        <v>12</v>
      </c>
      <c r="M59" s="53">
        <f t="shared" si="2"/>
        <v>100</v>
      </c>
      <c r="N59" s="6">
        <f t="shared" si="4"/>
        <v>5088</v>
      </c>
      <c r="O59" s="6" t="s">
        <v>69</v>
      </c>
      <c r="P59" s="6" t="s">
        <v>69</v>
      </c>
      <c r="Q59" s="55" t="str">
        <f t="shared" si="3"/>
        <v>GREEN</v>
      </c>
    </row>
    <row r="60" spans="1:17" s="27" customFormat="1" ht="12.6" x14ac:dyDescent="0.3">
      <c r="A60" s="71"/>
      <c r="B60" s="31">
        <v>50</v>
      </c>
      <c r="C60" s="9" t="s">
        <v>84</v>
      </c>
      <c r="D60" s="1">
        <v>10284294</v>
      </c>
      <c r="E60" s="1">
        <v>112507008</v>
      </c>
      <c r="F60" s="1">
        <v>2761</v>
      </c>
      <c r="G60" s="1">
        <v>2</v>
      </c>
      <c r="H60" s="53">
        <v>18</v>
      </c>
      <c r="I60" s="53">
        <v>8</v>
      </c>
      <c r="J60" s="53">
        <v>0</v>
      </c>
      <c r="K60" s="53">
        <v>0</v>
      </c>
      <c r="L60" s="53">
        <f t="shared" si="1"/>
        <v>0</v>
      </c>
      <c r="M60" s="53">
        <v>0</v>
      </c>
      <c r="N60" s="6">
        <f t="shared" si="4"/>
        <v>0</v>
      </c>
      <c r="O60" s="6" t="s">
        <v>69</v>
      </c>
      <c r="P60" s="6" t="s">
        <v>69</v>
      </c>
      <c r="Q60" s="55" t="str">
        <f t="shared" si="3"/>
        <v>RED</v>
      </c>
    </row>
    <row r="61" spans="1:17" s="27" customFormat="1" ht="12.6" x14ac:dyDescent="0.3">
      <c r="A61" s="71"/>
      <c r="B61" s="31">
        <v>51</v>
      </c>
      <c r="C61" s="9" t="s">
        <v>85</v>
      </c>
      <c r="D61" s="1">
        <v>10284292</v>
      </c>
      <c r="E61" s="1">
        <v>112507018</v>
      </c>
      <c r="F61" s="1">
        <v>1707</v>
      </c>
      <c r="G61" s="1">
        <v>8</v>
      </c>
      <c r="H61" s="53">
        <v>72</v>
      </c>
      <c r="I61" s="53">
        <v>48</v>
      </c>
      <c r="J61" s="53">
        <v>24</v>
      </c>
      <c r="K61" s="53">
        <v>0</v>
      </c>
      <c r="L61" s="53">
        <f t="shared" si="1"/>
        <v>24</v>
      </c>
      <c r="M61" s="53">
        <f t="shared" si="2"/>
        <v>100</v>
      </c>
      <c r="N61" s="6">
        <f t="shared" si="4"/>
        <v>40968</v>
      </c>
      <c r="O61" s="6" t="s">
        <v>69</v>
      </c>
      <c r="P61" s="6" t="s">
        <v>69</v>
      </c>
      <c r="Q61" s="55" t="str">
        <f t="shared" si="3"/>
        <v>GREEN</v>
      </c>
    </row>
    <row r="62" spans="1:17" s="27" customFormat="1" ht="12.6" x14ac:dyDescent="0.3">
      <c r="A62" s="71"/>
      <c r="B62" s="31">
        <v>52</v>
      </c>
      <c r="C62" s="9" t="s">
        <v>86</v>
      </c>
      <c r="D62" s="1">
        <v>10284291</v>
      </c>
      <c r="E62" s="1">
        <v>112507011</v>
      </c>
      <c r="F62" s="1">
        <v>459</v>
      </c>
      <c r="G62" s="1">
        <v>1</v>
      </c>
      <c r="H62" s="53">
        <v>9</v>
      </c>
      <c r="I62" s="53">
        <v>6</v>
      </c>
      <c r="J62" s="53">
        <v>3</v>
      </c>
      <c r="K62" s="53">
        <v>0</v>
      </c>
      <c r="L62" s="53">
        <f t="shared" si="1"/>
        <v>3</v>
      </c>
      <c r="M62" s="53">
        <f t="shared" si="2"/>
        <v>100</v>
      </c>
      <c r="N62" s="6">
        <f t="shared" si="4"/>
        <v>1377</v>
      </c>
      <c r="O62" s="6" t="s">
        <v>69</v>
      </c>
      <c r="P62" s="6" t="s">
        <v>69</v>
      </c>
      <c r="Q62" s="55" t="str">
        <f t="shared" si="3"/>
        <v>GREEN</v>
      </c>
    </row>
    <row r="63" spans="1:17" s="27" customFormat="1" ht="12.6" x14ac:dyDescent="0.3">
      <c r="A63" s="71"/>
      <c r="B63" s="31">
        <v>53</v>
      </c>
      <c r="C63" s="9" t="s">
        <v>87</v>
      </c>
      <c r="D63" s="1">
        <v>10046047</v>
      </c>
      <c r="E63" s="1">
        <v>112052074</v>
      </c>
      <c r="F63" s="1">
        <v>0</v>
      </c>
      <c r="G63" s="1">
        <v>14</v>
      </c>
      <c r="H63" s="53">
        <v>126</v>
      </c>
      <c r="I63" s="53">
        <v>84</v>
      </c>
      <c r="J63" s="53">
        <v>42</v>
      </c>
      <c r="K63" s="53">
        <v>0</v>
      </c>
      <c r="L63" s="53">
        <f t="shared" si="1"/>
        <v>42</v>
      </c>
      <c r="M63" s="53">
        <f t="shared" si="2"/>
        <v>100</v>
      </c>
      <c r="N63" s="6">
        <f t="shared" si="4"/>
        <v>0</v>
      </c>
      <c r="O63" s="6" t="s">
        <v>69</v>
      </c>
      <c r="P63" s="6" t="s">
        <v>69</v>
      </c>
      <c r="Q63" s="55" t="str">
        <f t="shared" si="3"/>
        <v>GREEN</v>
      </c>
    </row>
    <row r="64" spans="1:17" s="27" customFormat="1" ht="12.6" x14ac:dyDescent="0.3">
      <c r="A64" s="71"/>
      <c r="B64" s="31">
        <v>54</v>
      </c>
      <c r="C64" s="9" t="s">
        <v>88</v>
      </c>
      <c r="D64" s="1">
        <v>10044594</v>
      </c>
      <c r="E64" s="1">
        <v>112507030</v>
      </c>
      <c r="F64" s="1">
        <v>0</v>
      </c>
      <c r="G64" s="1">
        <v>1</v>
      </c>
      <c r="H64" s="53">
        <v>9</v>
      </c>
      <c r="I64" s="53">
        <v>6</v>
      </c>
      <c r="J64" s="53">
        <v>3</v>
      </c>
      <c r="K64" s="53">
        <v>0</v>
      </c>
      <c r="L64" s="53">
        <f t="shared" si="1"/>
        <v>3</v>
      </c>
      <c r="M64" s="53">
        <f t="shared" si="2"/>
        <v>100</v>
      </c>
      <c r="N64" s="6">
        <f t="shared" si="4"/>
        <v>0</v>
      </c>
      <c r="O64" s="6" t="s">
        <v>69</v>
      </c>
      <c r="P64" s="6" t="s">
        <v>69</v>
      </c>
      <c r="Q64" s="55" t="str">
        <f t="shared" si="3"/>
        <v>GREEN</v>
      </c>
    </row>
    <row r="65" spans="1:17" s="27" customFormat="1" ht="12.6" x14ac:dyDescent="0.3">
      <c r="A65" s="71"/>
      <c r="B65" s="31">
        <v>55</v>
      </c>
      <c r="C65" s="9" t="s">
        <v>89</v>
      </c>
      <c r="D65" s="1">
        <v>10002365</v>
      </c>
      <c r="E65" s="1">
        <v>112507026</v>
      </c>
      <c r="F65" s="1">
        <v>0</v>
      </c>
      <c r="G65" s="1">
        <v>3</v>
      </c>
      <c r="H65" s="53">
        <v>27</v>
      </c>
      <c r="I65" s="53">
        <v>18</v>
      </c>
      <c r="J65" s="53">
        <v>9</v>
      </c>
      <c r="K65" s="53">
        <v>0</v>
      </c>
      <c r="L65" s="53">
        <f t="shared" si="1"/>
        <v>9</v>
      </c>
      <c r="M65" s="53">
        <f t="shared" si="2"/>
        <v>100</v>
      </c>
      <c r="N65" s="6">
        <f t="shared" si="4"/>
        <v>0</v>
      </c>
      <c r="O65" s="6" t="s">
        <v>69</v>
      </c>
      <c r="P65" s="6" t="s">
        <v>69</v>
      </c>
      <c r="Q65" s="55" t="str">
        <f t="shared" si="3"/>
        <v>GREEN</v>
      </c>
    </row>
    <row r="66" spans="1:17" s="27" customFormat="1" ht="12.6" x14ac:dyDescent="0.3">
      <c r="A66" s="71"/>
      <c r="B66" s="31">
        <v>56</v>
      </c>
      <c r="C66" s="9" t="s">
        <v>90</v>
      </c>
      <c r="D66" s="1">
        <v>10286931</v>
      </c>
      <c r="E66" s="1">
        <v>112507027</v>
      </c>
      <c r="F66" s="1">
        <v>0</v>
      </c>
      <c r="G66" s="1">
        <v>2</v>
      </c>
      <c r="H66" s="53">
        <v>18</v>
      </c>
      <c r="I66" s="53">
        <v>12</v>
      </c>
      <c r="J66" s="53">
        <v>6</v>
      </c>
      <c r="K66" s="53">
        <v>0</v>
      </c>
      <c r="L66" s="53">
        <f t="shared" si="1"/>
        <v>6</v>
      </c>
      <c r="M66" s="53">
        <f t="shared" si="2"/>
        <v>100</v>
      </c>
      <c r="N66" s="6">
        <f t="shared" si="4"/>
        <v>0</v>
      </c>
      <c r="O66" s="6" t="s">
        <v>69</v>
      </c>
      <c r="P66" s="6" t="s">
        <v>69</v>
      </c>
      <c r="Q66" s="55" t="str">
        <f t="shared" si="3"/>
        <v>GREEN</v>
      </c>
    </row>
    <row r="67" spans="1:17" s="27" customFormat="1" ht="12.6" x14ac:dyDescent="0.3">
      <c r="A67" s="71"/>
      <c r="B67" s="31">
        <v>57</v>
      </c>
      <c r="C67" s="9" t="s">
        <v>91</v>
      </c>
      <c r="D67" s="1">
        <v>10212595</v>
      </c>
      <c r="E67" s="1">
        <v>112507028</v>
      </c>
      <c r="F67" s="1">
        <v>0</v>
      </c>
      <c r="G67" s="1">
        <v>5</v>
      </c>
      <c r="H67" s="53">
        <v>45</v>
      </c>
      <c r="I67" s="53">
        <v>30</v>
      </c>
      <c r="J67" s="53">
        <v>15</v>
      </c>
      <c r="K67" s="53">
        <v>0</v>
      </c>
      <c r="L67" s="53">
        <f t="shared" si="1"/>
        <v>15</v>
      </c>
      <c r="M67" s="53">
        <f t="shared" si="2"/>
        <v>100</v>
      </c>
      <c r="N67" s="6">
        <f t="shared" si="4"/>
        <v>0</v>
      </c>
      <c r="O67" s="6" t="s">
        <v>69</v>
      </c>
      <c r="P67" s="6" t="s">
        <v>69</v>
      </c>
      <c r="Q67" s="55" t="str">
        <f t="shared" si="3"/>
        <v>GREEN</v>
      </c>
    </row>
    <row r="68" spans="1:17" s="27" customFormat="1" ht="12.6" x14ac:dyDescent="0.3">
      <c r="A68" s="71"/>
      <c r="B68" s="31">
        <v>58</v>
      </c>
      <c r="C68" s="32" t="s">
        <v>92</v>
      </c>
      <c r="D68" s="1">
        <v>10083660</v>
      </c>
      <c r="E68" s="1">
        <v>112507017</v>
      </c>
      <c r="F68" s="1">
        <v>0</v>
      </c>
      <c r="G68" s="1">
        <v>1</v>
      </c>
      <c r="H68" s="53">
        <v>9</v>
      </c>
      <c r="I68" s="53">
        <v>6</v>
      </c>
      <c r="J68" s="53">
        <v>3</v>
      </c>
      <c r="K68" s="53">
        <v>0</v>
      </c>
      <c r="L68" s="53">
        <f t="shared" si="1"/>
        <v>3</v>
      </c>
      <c r="M68" s="53">
        <f t="shared" si="2"/>
        <v>100</v>
      </c>
      <c r="N68" s="6">
        <f t="shared" si="4"/>
        <v>0</v>
      </c>
      <c r="O68" s="6" t="s">
        <v>69</v>
      </c>
      <c r="P68" s="6" t="s">
        <v>69</v>
      </c>
      <c r="Q68" s="55" t="str">
        <f t="shared" si="3"/>
        <v>GREEN</v>
      </c>
    </row>
    <row r="69" spans="1:17" s="27" customFormat="1" ht="25.2" x14ac:dyDescent="0.3">
      <c r="A69" s="71"/>
      <c r="B69" s="31">
        <v>59</v>
      </c>
      <c r="C69" s="9" t="s">
        <v>93</v>
      </c>
      <c r="D69" s="1">
        <v>10324470</v>
      </c>
      <c r="E69" s="1">
        <v>112507005</v>
      </c>
      <c r="F69" s="1">
        <v>7398</v>
      </c>
      <c r="G69" s="1">
        <v>2</v>
      </c>
      <c r="H69" s="53">
        <v>18</v>
      </c>
      <c r="I69" s="53">
        <v>12</v>
      </c>
      <c r="J69" s="53">
        <v>6</v>
      </c>
      <c r="K69" s="53">
        <v>0</v>
      </c>
      <c r="L69" s="53">
        <f t="shared" si="1"/>
        <v>6</v>
      </c>
      <c r="M69" s="53">
        <f t="shared" si="2"/>
        <v>100</v>
      </c>
      <c r="N69" s="6">
        <f t="shared" si="4"/>
        <v>44388</v>
      </c>
      <c r="O69" s="6" t="s">
        <v>69</v>
      </c>
      <c r="P69" s="6" t="s">
        <v>69</v>
      </c>
      <c r="Q69" s="55" t="str">
        <f t="shared" si="3"/>
        <v>GREEN</v>
      </c>
    </row>
    <row r="70" spans="1:17" s="27" customFormat="1" ht="25.2" x14ac:dyDescent="0.3">
      <c r="A70" s="71"/>
      <c r="B70" s="31">
        <v>60</v>
      </c>
      <c r="C70" s="9" t="s">
        <v>94</v>
      </c>
      <c r="D70" s="1">
        <v>10036865</v>
      </c>
      <c r="E70" s="1">
        <v>112507029</v>
      </c>
      <c r="F70" s="1">
        <v>0</v>
      </c>
      <c r="G70" s="1">
        <v>8</v>
      </c>
      <c r="H70" s="53">
        <v>72</v>
      </c>
      <c r="I70" s="53">
        <v>48</v>
      </c>
      <c r="J70" s="53">
        <v>24</v>
      </c>
      <c r="K70" s="53">
        <v>0</v>
      </c>
      <c r="L70" s="53">
        <f t="shared" si="1"/>
        <v>24</v>
      </c>
      <c r="M70" s="53">
        <f t="shared" si="2"/>
        <v>100</v>
      </c>
      <c r="N70" s="6">
        <f t="shared" si="4"/>
        <v>0</v>
      </c>
      <c r="O70" s="6" t="s">
        <v>69</v>
      </c>
      <c r="P70" s="6" t="s">
        <v>69</v>
      </c>
      <c r="Q70" s="55" t="str">
        <f t="shared" si="3"/>
        <v>GREEN</v>
      </c>
    </row>
    <row r="71" spans="1:17" s="27" customFormat="1" ht="25.2" x14ac:dyDescent="0.3">
      <c r="A71" s="71"/>
      <c r="B71" s="31">
        <v>61</v>
      </c>
      <c r="C71" s="9" t="s">
        <v>95</v>
      </c>
      <c r="D71" s="1">
        <v>10037195</v>
      </c>
      <c r="E71" s="1">
        <v>112507016</v>
      </c>
      <c r="F71" s="1">
        <v>0</v>
      </c>
      <c r="G71" s="1">
        <v>2</v>
      </c>
      <c r="H71" s="53">
        <v>18</v>
      </c>
      <c r="I71" s="53">
        <v>12</v>
      </c>
      <c r="J71" s="53">
        <v>6</v>
      </c>
      <c r="K71" s="53">
        <v>0</v>
      </c>
      <c r="L71" s="53">
        <f t="shared" si="1"/>
        <v>6</v>
      </c>
      <c r="M71" s="53">
        <f t="shared" si="2"/>
        <v>100</v>
      </c>
      <c r="N71" s="6">
        <f t="shared" si="4"/>
        <v>0</v>
      </c>
      <c r="O71" s="6" t="s">
        <v>69</v>
      </c>
      <c r="P71" s="6" t="s">
        <v>69</v>
      </c>
      <c r="Q71" s="55" t="str">
        <f t="shared" si="3"/>
        <v>GREEN</v>
      </c>
    </row>
    <row r="72" spans="1:17" s="27" customFormat="1" ht="12.6" x14ac:dyDescent="0.3">
      <c r="A72" s="71"/>
      <c r="B72" s="31">
        <v>62</v>
      </c>
      <c r="C72" s="9" t="s">
        <v>96</v>
      </c>
      <c r="D72" s="1">
        <v>10037197</v>
      </c>
      <c r="E72" s="1">
        <v>112507015</v>
      </c>
      <c r="F72" s="1">
        <v>0</v>
      </c>
      <c r="G72" s="1">
        <v>2</v>
      </c>
      <c r="H72" s="53">
        <v>18</v>
      </c>
      <c r="I72" s="53">
        <v>12</v>
      </c>
      <c r="J72" s="53">
        <v>6</v>
      </c>
      <c r="K72" s="53">
        <v>0</v>
      </c>
      <c r="L72" s="53">
        <f t="shared" si="1"/>
        <v>6</v>
      </c>
      <c r="M72" s="53">
        <f t="shared" si="2"/>
        <v>100</v>
      </c>
      <c r="N72" s="6">
        <f t="shared" si="4"/>
        <v>0</v>
      </c>
      <c r="O72" s="6" t="s">
        <v>69</v>
      </c>
      <c r="P72" s="6" t="s">
        <v>69</v>
      </c>
      <c r="Q72" s="55" t="str">
        <f t="shared" si="3"/>
        <v>GREEN</v>
      </c>
    </row>
    <row r="73" spans="1:17" s="27" customFormat="1" ht="12.6" x14ac:dyDescent="0.3">
      <c r="A73" s="71"/>
      <c r="B73" s="31">
        <v>63</v>
      </c>
      <c r="C73" s="9" t="s">
        <v>97</v>
      </c>
      <c r="D73" s="1">
        <v>10021570</v>
      </c>
      <c r="E73" s="1">
        <v>112507014</v>
      </c>
      <c r="F73" s="1">
        <v>0</v>
      </c>
      <c r="G73" s="1">
        <v>2</v>
      </c>
      <c r="H73" s="53">
        <v>18</v>
      </c>
      <c r="I73" s="53">
        <v>12</v>
      </c>
      <c r="J73" s="53">
        <v>6</v>
      </c>
      <c r="K73" s="53">
        <v>0</v>
      </c>
      <c r="L73" s="53">
        <f t="shared" si="1"/>
        <v>6</v>
      </c>
      <c r="M73" s="53">
        <f t="shared" si="2"/>
        <v>100</v>
      </c>
      <c r="N73" s="6">
        <f t="shared" si="4"/>
        <v>0</v>
      </c>
      <c r="O73" s="6" t="s">
        <v>69</v>
      </c>
      <c r="P73" s="6" t="s">
        <v>69</v>
      </c>
      <c r="Q73" s="55" t="str">
        <f t="shared" si="3"/>
        <v>GREEN</v>
      </c>
    </row>
    <row r="74" spans="1:17" s="27" customFormat="1" ht="25.2" x14ac:dyDescent="0.3">
      <c r="A74" s="71"/>
      <c r="B74" s="31">
        <v>64</v>
      </c>
      <c r="C74" s="9" t="s">
        <v>98</v>
      </c>
      <c r="D74" s="1">
        <v>10043591</v>
      </c>
      <c r="E74" s="1">
        <v>112507303</v>
      </c>
      <c r="F74" s="1">
        <v>0</v>
      </c>
      <c r="G74" s="1">
        <v>8</v>
      </c>
      <c r="H74" s="53">
        <v>72</v>
      </c>
      <c r="I74" s="53">
        <v>48</v>
      </c>
      <c r="J74" s="53">
        <v>24</v>
      </c>
      <c r="K74" s="53">
        <v>0</v>
      </c>
      <c r="L74" s="53">
        <f t="shared" si="1"/>
        <v>24</v>
      </c>
      <c r="M74" s="53">
        <f t="shared" si="2"/>
        <v>100</v>
      </c>
      <c r="N74" s="6">
        <f t="shared" si="4"/>
        <v>0</v>
      </c>
      <c r="O74" s="6" t="s">
        <v>69</v>
      </c>
      <c r="P74" s="6" t="s">
        <v>69</v>
      </c>
      <c r="Q74" s="55" t="str">
        <f t="shared" si="3"/>
        <v>GREEN</v>
      </c>
    </row>
    <row r="75" spans="1:17" s="27" customFormat="1" ht="12.6" x14ac:dyDescent="0.3">
      <c r="A75" s="71"/>
      <c r="B75" s="31">
        <v>65</v>
      </c>
      <c r="C75" s="9" t="s">
        <v>99</v>
      </c>
      <c r="D75" s="1">
        <v>10043563</v>
      </c>
      <c r="E75" s="1">
        <v>112506999</v>
      </c>
      <c r="F75" s="1">
        <v>0</v>
      </c>
      <c r="G75" s="1">
        <v>1</v>
      </c>
      <c r="H75" s="53">
        <v>9</v>
      </c>
      <c r="I75" s="53">
        <v>6</v>
      </c>
      <c r="J75" s="53">
        <v>3</v>
      </c>
      <c r="K75" s="53">
        <v>0</v>
      </c>
      <c r="L75" s="53">
        <f t="shared" ref="L75:L138" si="5">J75-K75</f>
        <v>3</v>
      </c>
      <c r="M75" s="53">
        <f t="shared" ref="M75:M138" si="6">L75/J75*100</f>
        <v>100</v>
      </c>
      <c r="N75" s="6">
        <f t="shared" si="4"/>
        <v>0</v>
      </c>
      <c r="O75" s="6" t="s">
        <v>69</v>
      </c>
      <c r="P75" s="6" t="s">
        <v>69</v>
      </c>
      <c r="Q75" s="55" t="str">
        <f t="shared" ref="Q75:Q138" si="7">IF(AND(I75+L75&gt;=0.75*H75),"GREEN",IF(AND(I75+L75&gt;0.5*H75,I75+L75&lt;0.75*H75),"YELLOW",IF(AND(I75+L75&lt;=0.5*H75),"RED","INVALID")))</f>
        <v>GREEN</v>
      </c>
    </row>
    <row r="76" spans="1:17" s="27" customFormat="1" ht="25.2" x14ac:dyDescent="0.3">
      <c r="A76" s="71"/>
      <c r="B76" s="31">
        <v>66</v>
      </c>
      <c r="C76" s="9" t="s">
        <v>100</v>
      </c>
      <c r="D76" s="1">
        <v>10036815</v>
      </c>
      <c r="E76" s="1">
        <v>112507013</v>
      </c>
      <c r="F76" s="1">
        <v>0</v>
      </c>
      <c r="G76" s="1">
        <v>3</v>
      </c>
      <c r="H76" s="53">
        <v>27</v>
      </c>
      <c r="I76" s="53">
        <v>18</v>
      </c>
      <c r="J76" s="53">
        <v>9</v>
      </c>
      <c r="K76" s="53">
        <v>0</v>
      </c>
      <c r="L76" s="53">
        <f t="shared" si="5"/>
        <v>9</v>
      </c>
      <c r="M76" s="53">
        <f t="shared" si="6"/>
        <v>100</v>
      </c>
      <c r="N76" s="6">
        <f t="shared" si="4"/>
        <v>0</v>
      </c>
      <c r="O76" s="6" t="s">
        <v>69</v>
      </c>
      <c r="P76" s="6" t="s">
        <v>69</v>
      </c>
      <c r="Q76" s="55" t="str">
        <f t="shared" si="7"/>
        <v>GREEN</v>
      </c>
    </row>
    <row r="77" spans="1:17" s="27" customFormat="1" ht="12.6" x14ac:dyDescent="0.3">
      <c r="A77" s="71"/>
      <c r="B77" s="31">
        <v>67</v>
      </c>
      <c r="C77" s="9" t="s">
        <v>101</v>
      </c>
      <c r="D77" s="1" t="s">
        <v>110</v>
      </c>
      <c r="E77" s="1">
        <v>112507003</v>
      </c>
      <c r="F77" s="9">
        <v>30705</v>
      </c>
      <c r="G77" s="9">
        <v>2</v>
      </c>
      <c r="H77" s="53">
        <v>18</v>
      </c>
      <c r="I77" s="53">
        <v>12</v>
      </c>
      <c r="J77" s="53">
        <v>6</v>
      </c>
      <c r="K77" s="53">
        <v>0</v>
      </c>
      <c r="L77" s="53">
        <f t="shared" si="5"/>
        <v>6</v>
      </c>
      <c r="M77" s="53">
        <f t="shared" si="6"/>
        <v>100</v>
      </c>
      <c r="N77" s="6">
        <f t="shared" si="4"/>
        <v>184230</v>
      </c>
      <c r="O77" s="6" t="s">
        <v>69</v>
      </c>
      <c r="P77" s="6" t="s">
        <v>69</v>
      </c>
      <c r="Q77" s="55" t="str">
        <f t="shared" si="7"/>
        <v>GREEN</v>
      </c>
    </row>
    <row r="78" spans="1:17" s="27" customFormat="1" ht="12.6" x14ac:dyDescent="0.3">
      <c r="A78" s="71"/>
      <c r="B78" s="31">
        <v>68</v>
      </c>
      <c r="C78" s="9" t="s">
        <v>102</v>
      </c>
      <c r="D78" s="1" t="s">
        <v>111</v>
      </c>
      <c r="E78" s="1">
        <v>112507128</v>
      </c>
      <c r="F78" s="9">
        <v>0</v>
      </c>
      <c r="G78" s="9">
        <v>2</v>
      </c>
      <c r="H78" s="53">
        <v>18</v>
      </c>
      <c r="I78" s="53">
        <v>12</v>
      </c>
      <c r="J78" s="53">
        <v>6</v>
      </c>
      <c r="K78" s="53">
        <v>0</v>
      </c>
      <c r="L78" s="53">
        <f t="shared" si="5"/>
        <v>6</v>
      </c>
      <c r="M78" s="53">
        <f t="shared" si="6"/>
        <v>100</v>
      </c>
      <c r="N78" s="6">
        <f t="shared" si="4"/>
        <v>0</v>
      </c>
      <c r="O78" s="6" t="s">
        <v>69</v>
      </c>
      <c r="P78" s="6" t="s">
        <v>69</v>
      </c>
      <c r="Q78" s="55" t="str">
        <f t="shared" si="7"/>
        <v>GREEN</v>
      </c>
    </row>
    <row r="79" spans="1:17" s="27" customFormat="1" ht="12.6" x14ac:dyDescent="0.3">
      <c r="A79" s="71"/>
      <c r="B79" s="31">
        <v>69</v>
      </c>
      <c r="C79" s="9" t="s">
        <v>103</v>
      </c>
      <c r="D79" s="1">
        <v>10373806</v>
      </c>
      <c r="E79" s="1">
        <v>112507002</v>
      </c>
      <c r="F79" s="9">
        <v>4417</v>
      </c>
      <c r="G79" s="9">
        <v>1</v>
      </c>
      <c r="H79" s="53">
        <v>9</v>
      </c>
      <c r="I79" s="53">
        <v>6</v>
      </c>
      <c r="J79" s="53">
        <v>3</v>
      </c>
      <c r="K79" s="53">
        <v>0</v>
      </c>
      <c r="L79" s="53">
        <f t="shared" si="5"/>
        <v>3</v>
      </c>
      <c r="M79" s="53">
        <f t="shared" si="6"/>
        <v>100</v>
      </c>
      <c r="N79" s="6">
        <f t="shared" si="4"/>
        <v>13251</v>
      </c>
      <c r="O79" s="6" t="s">
        <v>69</v>
      </c>
      <c r="P79" s="6" t="s">
        <v>69</v>
      </c>
      <c r="Q79" s="55" t="str">
        <f t="shared" si="7"/>
        <v>GREEN</v>
      </c>
    </row>
    <row r="80" spans="1:17" s="27" customFormat="1" ht="12.6" x14ac:dyDescent="0.3">
      <c r="A80" s="71"/>
      <c r="B80" s="31">
        <v>70</v>
      </c>
      <c r="C80" s="9" t="s">
        <v>104</v>
      </c>
      <c r="D80" s="1">
        <v>10380093</v>
      </c>
      <c r="E80" s="1">
        <v>112507000</v>
      </c>
      <c r="F80" s="9">
        <v>4200</v>
      </c>
      <c r="G80" s="9">
        <v>1</v>
      </c>
      <c r="H80" s="53">
        <v>9</v>
      </c>
      <c r="I80" s="53">
        <v>6</v>
      </c>
      <c r="J80" s="53">
        <v>3</v>
      </c>
      <c r="K80" s="53">
        <v>0</v>
      </c>
      <c r="L80" s="53">
        <f t="shared" si="5"/>
        <v>3</v>
      </c>
      <c r="M80" s="53">
        <f t="shared" si="6"/>
        <v>100</v>
      </c>
      <c r="N80" s="6">
        <f t="shared" si="4"/>
        <v>12600</v>
      </c>
      <c r="O80" s="6" t="s">
        <v>69</v>
      </c>
      <c r="P80" s="6" t="s">
        <v>69</v>
      </c>
      <c r="Q80" s="55" t="str">
        <f t="shared" si="7"/>
        <v>GREEN</v>
      </c>
    </row>
    <row r="81" spans="1:17" s="27" customFormat="1" ht="25.2" x14ac:dyDescent="0.3">
      <c r="A81" s="71"/>
      <c r="B81" s="31">
        <v>71</v>
      </c>
      <c r="C81" s="9" t="s">
        <v>105</v>
      </c>
      <c r="D81" s="1" t="s">
        <v>112</v>
      </c>
      <c r="E81" s="1">
        <v>135008051</v>
      </c>
      <c r="F81" s="9">
        <v>11825</v>
      </c>
      <c r="G81" s="9">
        <v>2</v>
      </c>
      <c r="H81" s="53">
        <v>18</v>
      </c>
      <c r="I81" s="53">
        <v>12</v>
      </c>
      <c r="J81" s="53">
        <v>6</v>
      </c>
      <c r="K81" s="53">
        <v>0</v>
      </c>
      <c r="L81" s="53">
        <f t="shared" si="5"/>
        <v>6</v>
      </c>
      <c r="M81" s="53">
        <f t="shared" si="6"/>
        <v>100</v>
      </c>
      <c r="N81" s="6">
        <f t="shared" si="4"/>
        <v>70950</v>
      </c>
      <c r="O81" s="6" t="s">
        <v>69</v>
      </c>
      <c r="P81" s="6" t="s">
        <v>69</v>
      </c>
      <c r="Q81" s="55" t="str">
        <f t="shared" si="7"/>
        <v>GREEN</v>
      </c>
    </row>
    <row r="82" spans="1:17" s="27" customFormat="1" ht="25.2" x14ac:dyDescent="0.3">
      <c r="A82" s="71"/>
      <c r="B82" s="31">
        <v>72</v>
      </c>
      <c r="C82" s="9" t="s">
        <v>106</v>
      </c>
      <c r="D82" s="1" t="s">
        <v>113</v>
      </c>
      <c r="E82" s="1">
        <v>135008075</v>
      </c>
      <c r="F82" s="9">
        <v>13000</v>
      </c>
      <c r="G82" s="9">
        <v>2</v>
      </c>
      <c r="H82" s="53">
        <v>18</v>
      </c>
      <c r="I82" s="53">
        <v>12</v>
      </c>
      <c r="J82" s="53">
        <v>6</v>
      </c>
      <c r="K82" s="53">
        <v>0</v>
      </c>
      <c r="L82" s="53">
        <f t="shared" si="5"/>
        <v>6</v>
      </c>
      <c r="M82" s="53">
        <f t="shared" si="6"/>
        <v>100</v>
      </c>
      <c r="N82" s="6">
        <f t="shared" si="4"/>
        <v>78000</v>
      </c>
      <c r="O82" s="6" t="s">
        <v>69</v>
      </c>
      <c r="P82" s="6" t="s">
        <v>69</v>
      </c>
      <c r="Q82" s="55" t="str">
        <f t="shared" si="7"/>
        <v>GREEN</v>
      </c>
    </row>
    <row r="83" spans="1:17" s="27" customFormat="1" ht="25.2" x14ac:dyDescent="0.3">
      <c r="A83" s="71"/>
      <c r="B83" s="31">
        <v>73</v>
      </c>
      <c r="C83" s="9" t="s">
        <v>107</v>
      </c>
      <c r="D83" s="1" t="s">
        <v>114</v>
      </c>
      <c r="E83" s="1">
        <v>135008052</v>
      </c>
      <c r="F83" s="9">
        <v>4350</v>
      </c>
      <c r="G83" s="9">
        <v>2</v>
      </c>
      <c r="H83" s="53">
        <v>18</v>
      </c>
      <c r="I83" s="53">
        <v>12</v>
      </c>
      <c r="J83" s="53">
        <v>6</v>
      </c>
      <c r="K83" s="53">
        <v>0</v>
      </c>
      <c r="L83" s="53">
        <f t="shared" si="5"/>
        <v>6</v>
      </c>
      <c r="M83" s="53">
        <f t="shared" si="6"/>
        <v>100</v>
      </c>
      <c r="N83" s="6">
        <f t="shared" si="4"/>
        <v>26100</v>
      </c>
      <c r="O83" s="6" t="s">
        <v>69</v>
      </c>
      <c r="P83" s="6" t="s">
        <v>69</v>
      </c>
      <c r="Q83" s="55" t="str">
        <f t="shared" si="7"/>
        <v>GREEN</v>
      </c>
    </row>
    <row r="84" spans="1:17" s="27" customFormat="1" ht="12.6" x14ac:dyDescent="0.3">
      <c r="A84" s="71"/>
      <c r="B84" s="31">
        <v>74</v>
      </c>
      <c r="C84" s="9" t="s">
        <v>108</v>
      </c>
      <c r="D84" s="1">
        <v>10283012</v>
      </c>
      <c r="E84" s="1">
        <v>112507012</v>
      </c>
      <c r="F84" s="9">
        <v>0</v>
      </c>
      <c r="G84" s="9">
        <v>1</v>
      </c>
      <c r="H84" s="53">
        <v>9</v>
      </c>
      <c r="I84" s="53">
        <v>6</v>
      </c>
      <c r="J84" s="53">
        <v>3</v>
      </c>
      <c r="K84" s="53">
        <v>0</v>
      </c>
      <c r="L84" s="53">
        <f t="shared" si="5"/>
        <v>3</v>
      </c>
      <c r="M84" s="53">
        <f t="shared" si="6"/>
        <v>100</v>
      </c>
      <c r="N84" s="6">
        <f t="shared" si="4"/>
        <v>0</v>
      </c>
      <c r="O84" s="6" t="s">
        <v>69</v>
      </c>
      <c r="P84" s="6" t="s">
        <v>69</v>
      </c>
      <c r="Q84" s="55" t="str">
        <f t="shared" si="7"/>
        <v>GREEN</v>
      </c>
    </row>
    <row r="85" spans="1:17" s="56" customFormat="1" ht="15.6" x14ac:dyDescent="0.3">
      <c r="A85" s="58" t="s">
        <v>271</v>
      </c>
      <c r="B85" s="59" t="s">
        <v>271</v>
      </c>
      <c r="C85" s="59" t="s">
        <v>271</v>
      </c>
      <c r="D85" s="59" t="s">
        <v>271</v>
      </c>
      <c r="E85" s="59" t="s">
        <v>271</v>
      </c>
      <c r="F85" s="59" t="s">
        <v>271</v>
      </c>
      <c r="G85" s="59" t="s">
        <v>271</v>
      </c>
      <c r="H85" s="59" t="s">
        <v>271</v>
      </c>
      <c r="I85" s="59" t="s">
        <v>271</v>
      </c>
      <c r="J85" s="59" t="s">
        <v>271</v>
      </c>
      <c r="K85" s="59" t="s">
        <v>271</v>
      </c>
      <c r="L85" s="59" t="s">
        <v>271</v>
      </c>
      <c r="M85" s="59" t="s">
        <v>271</v>
      </c>
      <c r="N85" s="59" t="s">
        <v>271</v>
      </c>
      <c r="O85" s="59" t="s">
        <v>271</v>
      </c>
      <c r="P85" s="59" t="s">
        <v>271</v>
      </c>
      <c r="Q85" s="59" t="s">
        <v>271</v>
      </c>
    </row>
    <row r="86" spans="1:17" s="27" customFormat="1" ht="12.6" x14ac:dyDescent="0.3">
      <c r="A86" s="71" t="s">
        <v>116</v>
      </c>
      <c r="B86" s="31">
        <v>76</v>
      </c>
      <c r="C86" s="37" t="s">
        <v>72</v>
      </c>
      <c r="D86" s="19">
        <v>10284297</v>
      </c>
      <c r="E86" s="19">
        <v>112507087</v>
      </c>
      <c r="F86" s="19">
        <v>28518</v>
      </c>
      <c r="G86" s="19">
        <v>1</v>
      </c>
      <c r="H86" s="53">
        <v>18</v>
      </c>
      <c r="I86" s="53">
        <v>12</v>
      </c>
      <c r="J86" s="53">
        <v>6</v>
      </c>
      <c r="K86" s="53">
        <v>0</v>
      </c>
      <c r="L86" s="53">
        <f t="shared" si="5"/>
        <v>6</v>
      </c>
      <c r="M86" s="53">
        <f t="shared" si="6"/>
        <v>100</v>
      </c>
      <c r="N86" s="6">
        <f t="shared" ref="N86:N124" si="8">L86*F86</f>
        <v>171108</v>
      </c>
      <c r="O86" s="6" t="s">
        <v>69</v>
      </c>
      <c r="P86" s="6" t="s">
        <v>69</v>
      </c>
      <c r="Q86" s="55" t="str">
        <f t="shared" si="7"/>
        <v>GREEN</v>
      </c>
    </row>
    <row r="87" spans="1:17" s="27" customFormat="1" ht="12.6" x14ac:dyDescent="0.3">
      <c r="A87" s="71"/>
      <c r="B87" s="31">
        <v>77</v>
      </c>
      <c r="C87" s="37" t="s">
        <v>73</v>
      </c>
      <c r="D87" s="19">
        <v>10284299</v>
      </c>
      <c r="E87" s="19">
        <v>112507086</v>
      </c>
      <c r="F87" s="19">
        <v>22916</v>
      </c>
      <c r="G87" s="19">
        <v>1</v>
      </c>
      <c r="H87" s="53">
        <v>18</v>
      </c>
      <c r="I87" s="53">
        <v>12</v>
      </c>
      <c r="J87" s="53">
        <v>6</v>
      </c>
      <c r="K87" s="53">
        <v>0</v>
      </c>
      <c r="L87" s="53">
        <f t="shared" si="5"/>
        <v>6</v>
      </c>
      <c r="M87" s="53">
        <f t="shared" si="6"/>
        <v>100</v>
      </c>
      <c r="N87" s="6">
        <f t="shared" si="8"/>
        <v>137496</v>
      </c>
      <c r="O87" s="6" t="s">
        <v>69</v>
      </c>
      <c r="P87" s="6" t="s">
        <v>69</v>
      </c>
      <c r="Q87" s="55" t="str">
        <f t="shared" si="7"/>
        <v>GREEN</v>
      </c>
    </row>
    <row r="88" spans="1:17" s="27" customFormat="1" ht="12.6" x14ac:dyDescent="0.3">
      <c r="A88" s="71"/>
      <c r="B88" s="31">
        <v>78</v>
      </c>
      <c r="C88" s="37" t="s">
        <v>74</v>
      </c>
      <c r="D88" s="19">
        <v>10284301</v>
      </c>
      <c r="E88" s="19">
        <v>112052070</v>
      </c>
      <c r="F88" s="19">
        <v>11963</v>
      </c>
      <c r="G88" s="19">
        <v>2</v>
      </c>
      <c r="H88" s="53">
        <v>36</v>
      </c>
      <c r="I88" s="53">
        <v>24</v>
      </c>
      <c r="J88" s="53">
        <v>12</v>
      </c>
      <c r="K88" s="53">
        <v>0</v>
      </c>
      <c r="L88" s="53">
        <f t="shared" si="5"/>
        <v>12</v>
      </c>
      <c r="M88" s="53">
        <f t="shared" si="6"/>
        <v>100</v>
      </c>
      <c r="N88" s="6">
        <f t="shared" si="8"/>
        <v>143556</v>
      </c>
      <c r="O88" s="6" t="s">
        <v>69</v>
      </c>
      <c r="P88" s="6" t="s">
        <v>69</v>
      </c>
      <c r="Q88" s="55" t="str">
        <f t="shared" si="7"/>
        <v>GREEN</v>
      </c>
    </row>
    <row r="89" spans="1:17" s="27" customFormat="1" ht="12.6" x14ac:dyDescent="0.3">
      <c r="A89" s="71"/>
      <c r="B89" s="31">
        <v>79</v>
      </c>
      <c r="C89" s="37" t="s">
        <v>75</v>
      </c>
      <c r="D89" s="19">
        <v>10284951</v>
      </c>
      <c r="E89" s="19">
        <v>112052071</v>
      </c>
      <c r="F89" s="19">
        <v>518</v>
      </c>
      <c r="G89" s="19">
        <v>2</v>
      </c>
      <c r="H89" s="53">
        <v>36</v>
      </c>
      <c r="I89" s="53">
        <v>24</v>
      </c>
      <c r="J89" s="53">
        <v>12</v>
      </c>
      <c r="K89" s="53">
        <v>0</v>
      </c>
      <c r="L89" s="53">
        <f t="shared" si="5"/>
        <v>12</v>
      </c>
      <c r="M89" s="53">
        <f t="shared" si="6"/>
        <v>100</v>
      </c>
      <c r="N89" s="6">
        <f t="shared" si="8"/>
        <v>6216</v>
      </c>
      <c r="O89" s="6" t="s">
        <v>69</v>
      </c>
      <c r="P89" s="6" t="s">
        <v>69</v>
      </c>
      <c r="Q89" s="55" t="str">
        <f t="shared" si="7"/>
        <v>GREEN</v>
      </c>
    </row>
    <row r="90" spans="1:17" s="27" customFormat="1" ht="12.6" x14ac:dyDescent="0.3">
      <c r="A90" s="71"/>
      <c r="B90" s="31">
        <v>80</v>
      </c>
      <c r="C90" s="37" t="s">
        <v>76</v>
      </c>
      <c r="D90" s="19">
        <v>10284302</v>
      </c>
      <c r="E90" s="19">
        <v>112052076</v>
      </c>
      <c r="F90" s="19">
        <v>905</v>
      </c>
      <c r="G90" s="19">
        <v>1</v>
      </c>
      <c r="H90" s="53">
        <v>18</v>
      </c>
      <c r="I90" s="53">
        <v>12</v>
      </c>
      <c r="J90" s="53">
        <v>6</v>
      </c>
      <c r="K90" s="53">
        <v>0</v>
      </c>
      <c r="L90" s="53">
        <f t="shared" si="5"/>
        <v>6</v>
      </c>
      <c r="M90" s="53">
        <f t="shared" si="6"/>
        <v>100</v>
      </c>
      <c r="N90" s="6">
        <f t="shared" si="8"/>
        <v>5430</v>
      </c>
      <c r="O90" s="6" t="s">
        <v>69</v>
      </c>
      <c r="P90" s="6" t="s">
        <v>69</v>
      </c>
      <c r="Q90" s="55" t="str">
        <f t="shared" si="7"/>
        <v>GREEN</v>
      </c>
    </row>
    <row r="91" spans="1:17" s="27" customFormat="1" ht="12.6" x14ac:dyDescent="0.3">
      <c r="A91" s="71"/>
      <c r="B91" s="31">
        <v>81</v>
      </c>
      <c r="C91" s="37" t="s">
        <v>77</v>
      </c>
      <c r="D91" s="19" t="s">
        <v>136</v>
      </c>
      <c r="E91" s="19">
        <v>112507085</v>
      </c>
      <c r="F91" s="19">
        <v>424</v>
      </c>
      <c r="G91" s="19">
        <v>2</v>
      </c>
      <c r="H91" s="53">
        <v>36</v>
      </c>
      <c r="I91" s="53">
        <v>24</v>
      </c>
      <c r="J91" s="53">
        <v>12</v>
      </c>
      <c r="K91" s="53">
        <v>0</v>
      </c>
      <c r="L91" s="53">
        <f t="shared" si="5"/>
        <v>12</v>
      </c>
      <c r="M91" s="53">
        <f t="shared" si="6"/>
        <v>100</v>
      </c>
      <c r="N91" s="6">
        <f t="shared" si="8"/>
        <v>5088</v>
      </c>
      <c r="O91" s="6" t="s">
        <v>69</v>
      </c>
      <c r="P91" s="6" t="s">
        <v>69</v>
      </c>
      <c r="Q91" s="55" t="str">
        <f t="shared" si="7"/>
        <v>GREEN</v>
      </c>
    </row>
    <row r="92" spans="1:17" s="27" customFormat="1" ht="12.6" x14ac:dyDescent="0.3">
      <c r="A92" s="71"/>
      <c r="B92" s="31">
        <v>82</v>
      </c>
      <c r="C92" s="37" t="s">
        <v>78</v>
      </c>
      <c r="D92" s="19">
        <v>10284303</v>
      </c>
      <c r="E92" s="19">
        <v>112052077</v>
      </c>
      <c r="F92" s="19">
        <v>855</v>
      </c>
      <c r="G92" s="19">
        <v>1</v>
      </c>
      <c r="H92" s="53">
        <v>18</v>
      </c>
      <c r="I92" s="53">
        <v>12</v>
      </c>
      <c r="J92" s="53">
        <v>6</v>
      </c>
      <c r="K92" s="53">
        <v>0</v>
      </c>
      <c r="L92" s="53">
        <f t="shared" si="5"/>
        <v>6</v>
      </c>
      <c r="M92" s="53">
        <f t="shared" si="6"/>
        <v>100</v>
      </c>
      <c r="N92" s="6">
        <f t="shared" si="8"/>
        <v>5130</v>
      </c>
      <c r="O92" s="6" t="s">
        <v>69</v>
      </c>
      <c r="P92" s="6" t="s">
        <v>69</v>
      </c>
      <c r="Q92" s="55" t="str">
        <f t="shared" si="7"/>
        <v>GREEN</v>
      </c>
    </row>
    <row r="93" spans="1:17" s="27" customFormat="1" ht="12.6" x14ac:dyDescent="0.3">
      <c r="A93" s="71"/>
      <c r="B93" s="31">
        <v>83</v>
      </c>
      <c r="C93" s="37" t="s">
        <v>79</v>
      </c>
      <c r="D93" s="19">
        <v>10284953</v>
      </c>
      <c r="E93" s="19">
        <v>112052069</v>
      </c>
      <c r="F93" s="19">
        <v>1518</v>
      </c>
      <c r="G93" s="19">
        <v>2</v>
      </c>
      <c r="H93" s="53">
        <v>36</v>
      </c>
      <c r="I93" s="53">
        <v>24</v>
      </c>
      <c r="J93" s="53">
        <v>12</v>
      </c>
      <c r="K93" s="53">
        <v>0</v>
      </c>
      <c r="L93" s="53">
        <f t="shared" si="5"/>
        <v>12</v>
      </c>
      <c r="M93" s="53">
        <f t="shared" si="6"/>
        <v>100</v>
      </c>
      <c r="N93" s="6">
        <f t="shared" si="8"/>
        <v>18216</v>
      </c>
      <c r="O93" s="6" t="s">
        <v>69</v>
      </c>
      <c r="P93" s="6" t="s">
        <v>69</v>
      </c>
      <c r="Q93" s="55" t="str">
        <f t="shared" si="7"/>
        <v>GREEN</v>
      </c>
    </row>
    <row r="94" spans="1:17" s="27" customFormat="1" ht="12.6" x14ac:dyDescent="0.3">
      <c r="A94" s="71"/>
      <c r="B94" s="31">
        <v>84</v>
      </c>
      <c r="C94" s="37" t="s">
        <v>117</v>
      </c>
      <c r="D94" s="19">
        <v>10284304</v>
      </c>
      <c r="E94" s="19">
        <v>112507084</v>
      </c>
      <c r="F94" s="19">
        <v>424</v>
      </c>
      <c r="G94" s="19">
        <v>1</v>
      </c>
      <c r="H94" s="53">
        <v>18</v>
      </c>
      <c r="I94" s="53">
        <v>12</v>
      </c>
      <c r="J94" s="53">
        <v>6</v>
      </c>
      <c r="K94" s="53">
        <v>0</v>
      </c>
      <c r="L94" s="53">
        <f t="shared" si="5"/>
        <v>6</v>
      </c>
      <c r="M94" s="53">
        <f t="shared" si="6"/>
        <v>100</v>
      </c>
      <c r="N94" s="6">
        <f t="shared" si="8"/>
        <v>2544</v>
      </c>
      <c r="O94" s="6" t="s">
        <v>69</v>
      </c>
      <c r="P94" s="6" t="s">
        <v>69</v>
      </c>
      <c r="Q94" s="55" t="str">
        <f t="shared" si="7"/>
        <v>GREEN</v>
      </c>
    </row>
    <row r="95" spans="1:17" s="27" customFormat="1" ht="12.6" x14ac:dyDescent="0.3">
      <c r="A95" s="71"/>
      <c r="B95" s="31">
        <v>85</v>
      </c>
      <c r="C95" s="37" t="s">
        <v>118</v>
      </c>
      <c r="D95" s="19">
        <v>10284950</v>
      </c>
      <c r="E95" s="19">
        <v>112052068</v>
      </c>
      <c r="F95" s="19">
        <v>431</v>
      </c>
      <c r="G95" s="19">
        <v>1</v>
      </c>
      <c r="H95" s="53">
        <v>18</v>
      </c>
      <c r="I95" s="53">
        <v>12</v>
      </c>
      <c r="J95" s="53">
        <v>6</v>
      </c>
      <c r="K95" s="53">
        <v>0</v>
      </c>
      <c r="L95" s="53">
        <f t="shared" si="5"/>
        <v>6</v>
      </c>
      <c r="M95" s="53">
        <f t="shared" si="6"/>
        <v>100</v>
      </c>
      <c r="N95" s="6">
        <f t="shared" si="8"/>
        <v>2586</v>
      </c>
      <c r="O95" s="6" t="s">
        <v>69</v>
      </c>
      <c r="P95" s="6" t="s">
        <v>69</v>
      </c>
      <c r="Q95" s="55" t="str">
        <f t="shared" si="7"/>
        <v>GREEN</v>
      </c>
    </row>
    <row r="96" spans="1:17" s="27" customFormat="1" ht="12.6" x14ac:dyDescent="0.3">
      <c r="A96" s="71"/>
      <c r="B96" s="31">
        <v>86</v>
      </c>
      <c r="C96" s="37" t="s">
        <v>119</v>
      </c>
      <c r="D96" s="19">
        <v>10284959</v>
      </c>
      <c r="E96" s="19">
        <v>112507083</v>
      </c>
      <c r="F96" s="19">
        <v>763</v>
      </c>
      <c r="G96" s="19">
        <v>1</v>
      </c>
      <c r="H96" s="53">
        <v>18</v>
      </c>
      <c r="I96" s="53">
        <v>12</v>
      </c>
      <c r="J96" s="53">
        <v>6</v>
      </c>
      <c r="K96" s="53">
        <v>0</v>
      </c>
      <c r="L96" s="53">
        <f t="shared" si="5"/>
        <v>6</v>
      </c>
      <c r="M96" s="53">
        <f t="shared" si="6"/>
        <v>100</v>
      </c>
      <c r="N96" s="6">
        <f t="shared" si="8"/>
        <v>4578</v>
      </c>
      <c r="O96" s="6" t="s">
        <v>69</v>
      </c>
      <c r="P96" s="6" t="s">
        <v>69</v>
      </c>
      <c r="Q96" s="55" t="str">
        <f t="shared" si="7"/>
        <v>GREEN</v>
      </c>
    </row>
    <row r="97" spans="1:17" s="27" customFormat="1" ht="12.6" x14ac:dyDescent="0.3">
      <c r="A97" s="71"/>
      <c r="B97" s="31">
        <v>87</v>
      </c>
      <c r="C97" s="37" t="s">
        <v>82</v>
      </c>
      <c r="D97" s="19">
        <v>10284952</v>
      </c>
      <c r="E97" s="19">
        <v>112052072</v>
      </c>
      <c r="F97" s="19">
        <v>3864</v>
      </c>
      <c r="G97" s="19">
        <v>2</v>
      </c>
      <c r="H97" s="53">
        <v>36</v>
      </c>
      <c r="I97" s="53">
        <v>24</v>
      </c>
      <c r="J97" s="53">
        <v>12</v>
      </c>
      <c r="K97" s="53">
        <v>0</v>
      </c>
      <c r="L97" s="53">
        <f t="shared" si="5"/>
        <v>12</v>
      </c>
      <c r="M97" s="53">
        <f t="shared" si="6"/>
        <v>100</v>
      </c>
      <c r="N97" s="6">
        <f t="shared" si="8"/>
        <v>46368</v>
      </c>
      <c r="O97" s="6" t="s">
        <v>69</v>
      </c>
      <c r="P97" s="6" t="s">
        <v>69</v>
      </c>
      <c r="Q97" s="55" t="str">
        <f t="shared" si="7"/>
        <v>GREEN</v>
      </c>
    </row>
    <row r="98" spans="1:17" s="27" customFormat="1" ht="12.6" x14ac:dyDescent="0.3">
      <c r="A98" s="71"/>
      <c r="B98" s="31">
        <v>88</v>
      </c>
      <c r="C98" s="37" t="s">
        <v>120</v>
      </c>
      <c r="D98" s="19">
        <v>10284954</v>
      </c>
      <c r="E98" s="19">
        <v>102070080</v>
      </c>
      <c r="F98" s="19">
        <v>884</v>
      </c>
      <c r="G98" s="19">
        <v>4</v>
      </c>
      <c r="H98" s="53">
        <v>72</v>
      </c>
      <c r="I98" s="53">
        <v>48</v>
      </c>
      <c r="J98" s="53">
        <v>24</v>
      </c>
      <c r="K98" s="53">
        <v>0</v>
      </c>
      <c r="L98" s="53">
        <f t="shared" si="5"/>
        <v>24</v>
      </c>
      <c r="M98" s="53">
        <f t="shared" si="6"/>
        <v>100</v>
      </c>
      <c r="N98" s="6">
        <f t="shared" si="8"/>
        <v>21216</v>
      </c>
      <c r="O98" s="6" t="s">
        <v>69</v>
      </c>
      <c r="P98" s="6" t="s">
        <v>69</v>
      </c>
      <c r="Q98" s="55" t="str">
        <f t="shared" si="7"/>
        <v>GREEN</v>
      </c>
    </row>
    <row r="99" spans="1:17" s="27" customFormat="1" ht="12.6" x14ac:dyDescent="0.3">
      <c r="A99" s="71"/>
      <c r="B99" s="31">
        <v>89</v>
      </c>
      <c r="C99" s="37" t="s">
        <v>115</v>
      </c>
      <c r="D99" s="19">
        <v>10284955</v>
      </c>
      <c r="E99" s="19">
        <v>112507082</v>
      </c>
      <c r="F99" s="19">
        <v>280</v>
      </c>
      <c r="G99" s="19">
        <v>4</v>
      </c>
      <c r="H99" s="53">
        <v>72</v>
      </c>
      <c r="I99" s="53">
        <v>48</v>
      </c>
      <c r="J99" s="53">
        <v>24</v>
      </c>
      <c r="K99" s="53">
        <v>0</v>
      </c>
      <c r="L99" s="53">
        <f t="shared" si="5"/>
        <v>24</v>
      </c>
      <c r="M99" s="53">
        <f t="shared" si="6"/>
        <v>100</v>
      </c>
      <c r="N99" s="6">
        <f t="shared" si="8"/>
        <v>6720</v>
      </c>
      <c r="O99" s="6" t="s">
        <v>69</v>
      </c>
      <c r="P99" s="6" t="s">
        <v>69</v>
      </c>
      <c r="Q99" s="55" t="str">
        <f t="shared" si="7"/>
        <v>GREEN</v>
      </c>
    </row>
    <row r="100" spans="1:17" s="27" customFormat="1" ht="12.6" x14ac:dyDescent="0.3">
      <c r="A100" s="71"/>
      <c r="B100" s="31">
        <v>90</v>
      </c>
      <c r="C100" s="37" t="s">
        <v>121</v>
      </c>
      <c r="D100" s="19">
        <v>10284956</v>
      </c>
      <c r="E100" s="19">
        <v>112052073</v>
      </c>
      <c r="F100" s="19">
        <v>3622</v>
      </c>
      <c r="G100" s="19">
        <v>2</v>
      </c>
      <c r="H100" s="53">
        <v>36</v>
      </c>
      <c r="I100" s="53">
        <v>24</v>
      </c>
      <c r="J100" s="53">
        <v>12</v>
      </c>
      <c r="K100" s="53">
        <v>0</v>
      </c>
      <c r="L100" s="53">
        <f t="shared" si="5"/>
        <v>12</v>
      </c>
      <c r="M100" s="53">
        <f t="shared" si="6"/>
        <v>100</v>
      </c>
      <c r="N100" s="6">
        <f t="shared" si="8"/>
        <v>43464</v>
      </c>
      <c r="O100" s="6" t="s">
        <v>69</v>
      </c>
      <c r="P100" s="6" t="s">
        <v>69</v>
      </c>
      <c r="Q100" s="55" t="str">
        <f t="shared" si="7"/>
        <v>GREEN</v>
      </c>
    </row>
    <row r="101" spans="1:17" s="27" customFormat="1" ht="12.6" x14ac:dyDescent="0.3">
      <c r="A101" s="71"/>
      <c r="B101" s="31">
        <v>91</v>
      </c>
      <c r="C101" s="37" t="s">
        <v>85</v>
      </c>
      <c r="D101" s="19">
        <v>10284958</v>
      </c>
      <c r="E101" s="19">
        <v>112507072</v>
      </c>
      <c r="F101" s="19">
        <v>1707</v>
      </c>
      <c r="G101" s="19">
        <v>8</v>
      </c>
      <c r="H101" s="53">
        <v>144</v>
      </c>
      <c r="I101" s="53">
        <v>96</v>
      </c>
      <c r="J101" s="53">
        <v>48</v>
      </c>
      <c r="K101" s="53">
        <v>0</v>
      </c>
      <c r="L101" s="53">
        <f t="shared" si="5"/>
        <v>48</v>
      </c>
      <c r="M101" s="53">
        <f t="shared" si="6"/>
        <v>100</v>
      </c>
      <c r="N101" s="6">
        <f t="shared" si="8"/>
        <v>81936</v>
      </c>
      <c r="O101" s="6" t="s">
        <v>69</v>
      </c>
      <c r="P101" s="6" t="s">
        <v>69</v>
      </c>
      <c r="Q101" s="55" t="str">
        <f t="shared" si="7"/>
        <v>GREEN</v>
      </c>
    </row>
    <row r="102" spans="1:17" s="27" customFormat="1" ht="12.6" x14ac:dyDescent="0.3">
      <c r="A102" s="71"/>
      <c r="B102" s="31">
        <v>92</v>
      </c>
      <c r="C102" s="37" t="s">
        <v>122</v>
      </c>
      <c r="D102" s="19">
        <v>10247825</v>
      </c>
      <c r="E102" s="19">
        <v>112052078</v>
      </c>
      <c r="F102" s="19">
        <v>948</v>
      </c>
      <c r="G102" s="19">
        <v>1</v>
      </c>
      <c r="H102" s="53">
        <v>18</v>
      </c>
      <c r="I102" s="53">
        <v>12</v>
      </c>
      <c r="J102" s="53">
        <v>6</v>
      </c>
      <c r="K102" s="53">
        <v>0</v>
      </c>
      <c r="L102" s="53">
        <f t="shared" si="5"/>
        <v>6</v>
      </c>
      <c r="M102" s="53">
        <f t="shared" si="6"/>
        <v>100</v>
      </c>
      <c r="N102" s="6">
        <f t="shared" si="8"/>
        <v>5688</v>
      </c>
      <c r="O102" s="6" t="s">
        <v>69</v>
      </c>
      <c r="P102" s="6" t="s">
        <v>69</v>
      </c>
      <c r="Q102" s="55" t="str">
        <f t="shared" si="7"/>
        <v>GREEN</v>
      </c>
    </row>
    <row r="103" spans="1:17" s="27" customFormat="1" ht="12.6" x14ac:dyDescent="0.3">
      <c r="A103" s="71"/>
      <c r="B103" s="31">
        <v>93</v>
      </c>
      <c r="C103" s="37" t="s">
        <v>87</v>
      </c>
      <c r="D103" s="19">
        <v>10046047</v>
      </c>
      <c r="E103" s="19">
        <v>112052074</v>
      </c>
      <c r="F103" s="19">
        <v>25</v>
      </c>
      <c r="G103" s="19">
        <v>10</v>
      </c>
      <c r="H103" s="53">
        <v>180</v>
      </c>
      <c r="I103" s="53">
        <v>120</v>
      </c>
      <c r="J103" s="53">
        <v>60</v>
      </c>
      <c r="K103" s="53">
        <v>0</v>
      </c>
      <c r="L103" s="53">
        <f t="shared" si="5"/>
        <v>60</v>
      </c>
      <c r="M103" s="53">
        <f t="shared" si="6"/>
        <v>100</v>
      </c>
      <c r="N103" s="6">
        <f t="shared" si="8"/>
        <v>1500</v>
      </c>
      <c r="O103" s="6" t="s">
        <v>69</v>
      </c>
      <c r="P103" s="6" t="s">
        <v>69</v>
      </c>
      <c r="Q103" s="55" t="str">
        <f t="shared" si="7"/>
        <v>GREEN</v>
      </c>
    </row>
    <row r="104" spans="1:17" s="27" customFormat="1" ht="12.6" x14ac:dyDescent="0.3">
      <c r="A104" s="71"/>
      <c r="B104" s="31">
        <v>94</v>
      </c>
      <c r="C104" s="37" t="s">
        <v>89</v>
      </c>
      <c r="D104" s="19">
        <v>10002365</v>
      </c>
      <c r="E104" s="19">
        <v>112507026</v>
      </c>
      <c r="F104" s="19">
        <v>0</v>
      </c>
      <c r="G104" s="19">
        <v>3</v>
      </c>
      <c r="H104" s="53">
        <v>54</v>
      </c>
      <c r="I104" s="53">
        <v>36</v>
      </c>
      <c r="J104" s="53">
        <v>18</v>
      </c>
      <c r="K104" s="53">
        <v>0</v>
      </c>
      <c r="L104" s="53">
        <f t="shared" si="5"/>
        <v>18</v>
      </c>
      <c r="M104" s="53">
        <f t="shared" si="6"/>
        <v>100</v>
      </c>
      <c r="N104" s="6">
        <f t="shared" si="8"/>
        <v>0</v>
      </c>
      <c r="O104" s="6" t="s">
        <v>69</v>
      </c>
      <c r="P104" s="6" t="s">
        <v>69</v>
      </c>
      <c r="Q104" s="55" t="str">
        <f t="shared" si="7"/>
        <v>GREEN</v>
      </c>
    </row>
    <row r="105" spans="1:17" s="27" customFormat="1" ht="12.6" x14ac:dyDescent="0.3">
      <c r="A105" s="71"/>
      <c r="B105" s="31">
        <v>95</v>
      </c>
      <c r="C105" s="37" t="s">
        <v>90</v>
      </c>
      <c r="D105" s="19">
        <v>10286931</v>
      </c>
      <c r="E105" s="19">
        <v>112507027</v>
      </c>
      <c r="F105" s="19">
        <v>0</v>
      </c>
      <c r="G105" s="19">
        <v>2</v>
      </c>
      <c r="H105" s="53">
        <v>36</v>
      </c>
      <c r="I105" s="53">
        <v>24</v>
      </c>
      <c r="J105" s="53">
        <v>12</v>
      </c>
      <c r="K105" s="53">
        <v>0</v>
      </c>
      <c r="L105" s="53">
        <f t="shared" si="5"/>
        <v>12</v>
      </c>
      <c r="M105" s="53">
        <f t="shared" si="6"/>
        <v>100</v>
      </c>
      <c r="N105" s="6">
        <f t="shared" si="8"/>
        <v>0</v>
      </c>
      <c r="O105" s="6" t="s">
        <v>69</v>
      </c>
      <c r="P105" s="6" t="s">
        <v>69</v>
      </c>
      <c r="Q105" s="55" t="str">
        <f t="shared" si="7"/>
        <v>GREEN</v>
      </c>
    </row>
    <row r="106" spans="1:17" s="27" customFormat="1" ht="12.6" x14ac:dyDescent="0.3">
      <c r="A106" s="71"/>
      <c r="B106" s="31">
        <v>96</v>
      </c>
      <c r="C106" s="37" t="s">
        <v>91</v>
      </c>
      <c r="D106" s="19">
        <v>10212595</v>
      </c>
      <c r="E106" s="19">
        <v>112507028</v>
      </c>
      <c r="F106" s="19">
        <v>0</v>
      </c>
      <c r="G106" s="19">
        <v>5</v>
      </c>
      <c r="H106" s="53">
        <v>90</v>
      </c>
      <c r="I106" s="53">
        <v>60</v>
      </c>
      <c r="J106" s="53">
        <v>30</v>
      </c>
      <c r="K106" s="53">
        <v>0</v>
      </c>
      <c r="L106" s="53">
        <f t="shared" si="5"/>
        <v>30</v>
      </c>
      <c r="M106" s="53">
        <f t="shared" si="6"/>
        <v>100</v>
      </c>
      <c r="N106" s="6">
        <f t="shared" si="8"/>
        <v>0</v>
      </c>
      <c r="O106" s="6" t="s">
        <v>69</v>
      </c>
      <c r="P106" s="6" t="s">
        <v>69</v>
      </c>
      <c r="Q106" s="55" t="str">
        <f t="shared" si="7"/>
        <v>GREEN</v>
      </c>
    </row>
    <row r="107" spans="1:17" s="27" customFormat="1" ht="12.6" x14ac:dyDescent="0.3">
      <c r="A107" s="71"/>
      <c r="B107" s="31">
        <v>97</v>
      </c>
      <c r="C107" s="38" t="s">
        <v>92</v>
      </c>
      <c r="D107" s="19">
        <v>10083660</v>
      </c>
      <c r="E107" s="19">
        <v>112507017</v>
      </c>
      <c r="F107" s="19">
        <v>0</v>
      </c>
      <c r="G107" s="19">
        <v>1</v>
      </c>
      <c r="H107" s="53">
        <v>18</v>
      </c>
      <c r="I107" s="53">
        <v>12</v>
      </c>
      <c r="J107" s="53">
        <v>6</v>
      </c>
      <c r="K107" s="53">
        <v>0</v>
      </c>
      <c r="L107" s="53">
        <f t="shared" si="5"/>
        <v>6</v>
      </c>
      <c r="M107" s="53">
        <f t="shared" si="6"/>
        <v>100</v>
      </c>
      <c r="N107" s="6">
        <f t="shared" si="8"/>
        <v>0</v>
      </c>
      <c r="O107" s="6" t="s">
        <v>69</v>
      </c>
      <c r="P107" s="6" t="s">
        <v>69</v>
      </c>
      <c r="Q107" s="55" t="str">
        <f t="shared" si="7"/>
        <v>GREEN</v>
      </c>
    </row>
    <row r="108" spans="1:17" s="27" customFormat="1" ht="25.2" x14ac:dyDescent="0.3">
      <c r="A108" s="71"/>
      <c r="B108" s="31">
        <v>98</v>
      </c>
      <c r="C108" s="37" t="s">
        <v>123</v>
      </c>
      <c r="D108" s="19">
        <v>10284957</v>
      </c>
      <c r="E108" s="19">
        <v>112052075</v>
      </c>
      <c r="F108" s="19">
        <v>276</v>
      </c>
      <c r="G108" s="19">
        <v>2</v>
      </c>
      <c r="H108" s="53">
        <v>36</v>
      </c>
      <c r="I108" s="53">
        <v>24</v>
      </c>
      <c r="J108" s="53">
        <v>12</v>
      </c>
      <c r="K108" s="53">
        <v>0</v>
      </c>
      <c r="L108" s="53">
        <f t="shared" si="5"/>
        <v>12</v>
      </c>
      <c r="M108" s="53">
        <f t="shared" si="6"/>
        <v>100</v>
      </c>
      <c r="N108" s="6">
        <f t="shared" si="8"/>
        <v>3312</v>
      </c>
      <c r="O108" s="6" t="s">
        <v>69</v>
      </c>
      <c r="P108" s="6" t="s">
        <v>69</v>
      </c>
      <c r="Q108" s="55" t="str">
        <f t="shared" si="7"/>
        <v>GREEN</v>
      </c>
    </row>
    <row r="109" spans="1:17" s="27" customFormat="1" ht="25.2" x14ac:dyDescent="0.3">
      <c r="A109" s="71"/>
      <c r="B109" s="31">
        <v>99</v>
      </c>
      <c r="C109" s="37" t="s">
        <v>124</v>
      </c>
      <c r="D109" s="19">
        <v>10083657</v>
      </c>
      <c r="E109" s="19">
        <v>112507080</v>
      </c>
      <c r="F109" s="19">
        <v>0</v>
      </c>
      <c r="G109" s="19">
        <v>1</v>
      </c>
      <c r="H109" s="53">
        <v>18</v>
      </c>
      <c r="I109" s="53">
        <v>12</v>
      </c>
      <c r="J109" s="53">
        <v>6</v>
      </c>
      <c r="K109" s="53">
        <v>0</v>
      </c>
      <c r="L109" s="53">
        <f t="shared" si="5"/>
        <v>6</v>
      </c>
      <c r="M109" s="53">
        <f t="shared" si="6"/>
        <v>100</v>
      </c>
      <c r="N109" s="6">
        <f t="shared" si="8"/>
        <v>0</v>
      </c>
      <c r="O109" s="6" t="s">
        <v>69</v>
      </c>
      <c r="P109" s="6" t="s">
        <v>69</v>
      </c>
      <c r="Q109" s="55" t="str">
        <f t="shared" si="7"/>
        <v>GREEN</v>
      </c>
    </row>
    <row r="110" spans="1:17" s="27" customFormat="1" ht="12.6" x14ac:dyDescent="0.3">
      <c r="A110" s="71"/>
      <c r="B110" s="31">
        <v>100</v>
      </c>
      <c r="C110" s="37" t="s">
        <v>125</v>
      </c>
      <c r="D110" s="19">
        <v>10227667</v>
      </c>
      <c r="E110" s="19"/>
      <c r="F110" s="19">
        <v>0</v>
      </c>
      <c r="G110" s="19">
        <v>4</v>
      </c>
      <c r="H110" s="53">
        <v>72</v>
      </c>
      <c r="I110" s="53">
        <v>48</v>
      </c>
      <c r="J110" s="53">
        <v>24</v>
      </c>
      <c r="K110" s="53">
        <v>0</v>
      </c>
      <c r="L110" s="53">
        <f t="shared" si="5"/>
        <v>24</v>
      </c>
      <c r="M110" s="53">
        <f t="shared" si="6"/>
        <v>100</v>
      </c>
      <c r="N110" s="6">
        <f t="shared" si="8"/>
        <v>0</v>
      </c>
      <c r="O110" s="6" t="s">
        <v>69</v>
      </c>
      <c r="P110" s="6" t="s">
        <v>69</v>
      </c>
      <c r="Q110" s="55" t="str">
        <f t="shared" si="7"/>
        <v>GREEN</v>
      </c>
    </row>
    <row r="111" spans="1:17" s="27" customFormat="1" ht="25.2" x14ac:dyDescent="0.3">
      <c r="A111" s="71"/>
      <c r="B111" s="31">
        <v>101</v>
      </c>
      <c r="C111" s="37" t="s">
        <v>126</v>
      </c>
      <c r="D111" s="19">
        <v>10039994</v>
      </c>
      <c r="E111" s="19">
        <v>112507078</v>
      </c>
      <c r="F111" s="19">
        <v>0</v>
      </c>
      <c r="G111" s="19">
        <v>4</v>
      </c>
      <c r="H111" s="53">
        <v>72</v>
      </c>
      <c r="I111" s="53">
        <v>48</v>
      </c>
      <c r="J111" s="53">
        <v>24</v>
      </c>
      <c r="K111" s="53">
        <v>0</v>
      </c>
      <c r="L111" s="53">
        <f t="shared" si="5"/>
        <v>24</v>
      </c>
      <c r="M111" s="53">
        <f t="shared" si="6"/>
        <v>100</v>
      </c>
      <c r="N111" s="6">
        <f t="shared" si="8"/>
        <v>0</v>
      </c>
      <c r="O111" s="6" t="s">
        <v>69</v>
      </c>
      <c r="P111" s="6" t="s">
        <v>69</v>
      </c>
      <c r="Q111" s="55" t="str">
        <f t="shared" si="7"/>
        <v>GREEN</v>
      </c>
    </row>
    <row r="112" spans="1:17" s="27" customFormat="1" ht="25.2" x14ac:dyDescent="0.3">
      <c r="A112" s="71"/>
      <c r="B112" s="31">
        <v>102</v>
      </c>
      <c r="C112" s="37" t="s">
        <v>94</v>
      </c>
      <c r="D112" s="19">
        <v>10036865</v>
      </c>
      <c r="E112" s="19">
        <v>112507077</v>
      </c>
      <c r="F112" s="19">
        <v>0</v>
      </c>
      <c r="G112" s="19">
        <v>8</v>
      </c>
      <c r="H112" s="53">
        <v>144</v>
      </c>
      <c r="I112" s="53">
        <v>96</v>
      </c>
      <c r="J112" s="53">
        <v>48</v>
      </c>
      <c r="K112" s="53">
        <v>0</v>
      </c>
      <c r="L112" s="53">
        <f t="shared" si="5"/>
        <v>48</v>
      </c>
      <c r="M112" s="53">
        <f t="shared" si="6"/>
        <v>100</v>
      </c>
      <c r="N112" s="6">
        <f t="shared" si="8"/>
        <v>0</v>
      </c>
      <c r="O112" s="6" t="s">
        <v>69</v>
      </c>
      <c r="P112" s="6" t="s">
        <v>69</v>
      </c>
      <c r="Q112" s="55" t="str">
        <f t="shared" si="7"/>
        <v>GREEN</v>
      </c>
    </row>
    <row r="113" spans="1:17" s="27" customFormat="1" ht="25.2" x14ac:dyDescent="0.3">
      <c r="A113" s="71"/>
      <c r="B113" s="31">
        <v>103</v>
      </c>
      <c r="C113" s="37" t="s">
        <v>127</v>
      </c>
      <c r="D113" s="19">
        <v>10040007</v>
      </c>
      <c r="E113" s="19">
        <v>112507076</v>
      </c>
      <c r="F113" s="19">
        <v>0</v>
      </c>
      <c r="G113" s="19">
        <v>2</v>
      </c>
      <c r="H113" s="53">
        <v>36</v>
      </c>
      <c r="I113" s="53">
        <v>24</v>
      </c>
      <c r="J113" s="53">
        <v>12</v>
      </c>
      <c r="K113" s="53">
        <v>0</v>
      </c>
      <c r="L113" s="53">
        <f t="shared" si="5"/>
        <v>12</v>
      </c>
      <c r="M113" s="53">
        <f t="shared" si="6"/>
        <v>100</v>
      </c>
      <c r="N113" s="6">
        <f t="shared" si="8"/>
        <v>0</v>
      </c>
      <c r="O113" s="6" t="s">
        <v>69</v>
      </c>
      <c r="P113" s="6" t="s">
        <v>69</v>
      </c>
      <c r="Q113" s="55" t="str">
        <f t="shared" si="7"/>
        <v>GREEN</v>
      </c>
    </row>
    <row r="114" spans="1:17" s="27" customFormat="1" ht="12.6" x14ac:dyDescent="0.3">
      <c r="A114" s="71"/>
      <c r="B114" s="31">
        <v>104</v>
      </c>
      <c r="C114" s="37" t="s">
        <v>128</v>
      </c>
      <c r="D114" s="19">
        <v>10037193</v>
      </c>
      <c r="E114" s="19">
        <v>112507075</v>
      </c>
      <c r="F114" s="19">
        <v>0</v>
      </c>
      <c r="G114" s="19">
        <v>2</v>
      </c>
      <c r="H114" s="53">
        <v>36</v>
      </c>
      <c r="I114" s="53">
        <v>24</v>
      </c>
      <c r="J114" s="53">
        <v>12</v>
      </c>
      <c r="K114" s="53">
        <v>0</v>
      </c>
      <c r="L114" s="53">
        <f t="shared" si="5"/>
        <v>12</v>
      </c>
      <c r="M114" s="53">
        <f t="shared" si="6"/>
        <v>100</v>
      </c>
      <c r="N114" s="6">
        <f t="shared" si="8"/>
        <v>0</v>
      </c>
      <c r="O114" s="6" t="s">
        <v>69</v>
      </c>
      <c r="P114" s="6" t="s">
        <v>69</v>
      </c>
      <c r="Q114" s="55" t="str">
        <f t="shared" si="7"/>
        <v>GREEN</v>
      </c>
    </row>
    <row r="115" spans="1:17" s="27" customFormat="1" ht="25.2" x14ac:dyDescent="0.3">
      <c r="A115" s="71"/>
      <c r="B115" s="31">
        <v>105</v>
      </c>
      <c r="C115" s="37" t="s">
        <v>129</v>
      </c>
      <c r="D115" s="19">
        <v>10040016</v>
      </c>
      <c r="E115" s="19">
        <v>112507074</v>
      </c>
      <c r="F115" s="19">
        <v>0</v>
      </c>
      <c r="G115" s="19">
        <v>1</v>
      </c>
      <c r="H115" s="53">
        <v>18</v>
      </c>
      <c r="I115" s="53">
        <v>12</v>
      </c>
      <c r="J115" s="53">
        <v>6</v>
      </c>
      <c r="K115" s="53">
        <v>0</v>
      </c>
      <c r="L115" s="53">
        <f t="shared" si="5"/>
        <v>6</v>
      </c>
      <c r="M115" s="53">
        <f t="shared" si="6"/>
        <v>100</v>
      </c>
      <c r="N115" s="6">
        <f t="shared" si="8"/>
        <v>0</v>
      </c>
      <c r="O115" s="6" t="s">
        <v>69</v>
      </c>
      <c r="P115" s="6" t="s">
        <v>69</v>
      </c>
      <c r="Q115" s="55" t="str">
        <f t="shared" si="7"/>
        <v>GREEN</v>
      </c>
    </row>
    <row r="116" spans="1:17" s="27" customFormat="1" ht="12.6" x14ac:dyDescent="0.3">
      <c r="A116" s="71"/>
      <c r="B116" s="31">
        <v>106</v>
      </c>
      <c r="C116" s="37" t="s">
        <v>130</v>
      </c>
      <c r="D116" s="19">
        <v>10037196</v>
      </c>
      <c r="E116" s="19">
        <v>112507073</v>
      </c>
      <c r="F116" s="19">
        <v>0</v>
      </c>
      <c r="G116" s="19">
        <v>2</v>
      </c>
      <c r="H116" s="53">
        <v>36</v>
      </c>
      <c r="I116" s="53">
        <v>24</v>
      </c>
      <c r="J116" s="53">
        <v>12</v>
      </c>
      <c r="K116" s="53">
        <v>0</v>
      </c>
      <c r="L116" s="53">
        <f t="shared" si="5"/>
        <v>12</v>
      </c>
      <c r="M116" s="53">
        <f t="shared" si="6"/>
        <v>100</v>
      </c>
      <c r="N116" s="6">
        <f t="shared" si="8"/>
        <v>0</v>
      </c>
      <c r="O116" s="6" t="s">
        <v>69</v>
      </c>
      <c r="P116" s="6" t="s">
        <v>69</v>
      </c>
      <c r="Q116" s="55" t="str">
        <f t="shared" si="7"/>
        <v>GREEN</v>
      </c>
    </row>
    <row r="117" spans="1:17" s="27" customFormat="1" ht="12.6" x14ac:dyDescent="0.3">
      <c r="A117" s="71"/>
      <c r="B117" s="31">
        <v>107</v>
      </c>
      <c r="C117" s="37" t="s">
        <v>131</v>
      </c>
      <c r="D117" s="19" t="s">
        <v>35</v>
      </c>
      <c r="E117" s="19">
        <v>112507127</v>
      </c>
      <c r="F117" s="19">
        <v>0</v>
      </c>
      <c r="G117" s="19">
        <v>2</v>
      </c>
      <c r="H117" s="53">
        <v>36</v>
      </c>
      <c r="I117" s="53">
        <v>24</v>
      </c>
      <c r="J117" s="53">
        <v>12</v>
      </c>
      <c r="K117" s="53">
        <v>0</v>
      </c>
      <c r="L117" s="53">
        <f t="shared" si="5"/>
        <v>12</v>
      </c>
      <c r="M117" s="53">
        <f t="shared" si="6"/>
        <v>100</v>
      </c>
      <c r="N117" s="6">
        <f t="shared" si="8"/>
        <v>0</v>
      </c>
      <c r="O117" s="6" t="s">
        <v>69</v>
      </c>
      <c r="P117" s="6" t="s">
        <v>69</v>
      </c>
      <c r="Q117" s="55" t="str">
        <f t="shared" si="7"/>
        <v>GREEN</v>
      </c>
    </row>
    <row r="118" spans="1:17" s="27" customFormat="1" ht="13.2" x14ac:dyDescent="0.3">
      <c r="A118" s="71"/>
      <c r="B118" s="31">
        <v>108</v>
      </c>
      <c r="C118" s="37" t="s">
        <v>132</v>
      </c>
      <c r="D118" s="19" t="s">
        <v>137</v>
      </c>
      <c r="E118" s="19">
        <v>112052056</v>
      </c>
      <c r="F118" s="19">
        <v>10027</v>
      </c>
      <c r="G118" s="20">
        <v>2</v>
      </c>
      <c r="H118" s="53">
        <v>36</v>
      </c>
      <c r="I118" s="53">
        <v>24</v>
      </c>
      <c r="J118" s="53">
        <v>12</v>
      </c>
      <c r="K118" s="53">
        <v>0</v>
      </c>
      <c r="L118" s="53">
        <f t="shared" si="5"/>
        <v>12</v>
      </c>
      <c r="M118" s="53">
        <f t="shared" si="6"/>
        <v>100</v>
      </c>
      <c r="N118" s="6">
        <f t="shared" si="8"/>
        <v>120324</v>
      </c>
      <c r="O118" s="6" t="s">
        <v>69</v>
      </c>
      <c r="P118" s="6" t="s">
        <v>69</v>
      </c>
      <c r="Q118" s="55" t="str">
        <f t="shared" si="7"/>
        <v>GREEN</v>
      </c>
    </row>
    <row r="119" spans="1:17" s="27" customFormat="1" ht="13.2" x14ac:dyDescent="0.3">
      <c r="A119" s="71"/>
      <c r="B119" s="31">
        <v>109</v>
      </c>
      <c r="C119" s="37" t="s">
        <v>133</v>
      </c>
      <c r="D119" s="19" t="s">
        <v>138</v>
      </c>
      <c r="E119" s="19">
        <v>112052058</v>
      </c>
      <c r="F119" s="19">
        <v>10428</v>
      </c>
      <c r="G119" s="20">
        <v>2</v>
      </c>
      <c r="H119" s="53">
        <v>36</v>
      </c>
      <c r="I119" s="53">
        <v>24</v>
      </c>
      <c r="J119" s="53">
        <v>12</v>
      </c>
      <c r="K119" s="53">
        <v>0</v>
      </c>
      <c r="L119" s="53">
        <f t="shared" si="5"/>
        <v>12</v>
      </c>
      <c r="M119" s="53">
        <f t="shared" si="6"/>
        <v>100</v>
      </c>
      <c r="N119" s="6">
        <f t="shared" si="8"/>
        <v>125136</v>
      </c>
      <c r="O119" s="6" t="s">
        <v>69</v>
      </c>
      <c r="P119" s="6" t="s">
        <v>69</v>
      </c>
      <c r="Q119" s="55" t="str">
        <f t="shared" si="7"/>
        <v>GREEN</v>
      </c>
    </row>
    <row r="120" spans="1:17" s="27" customFormat="1" ht="13.2" x14ac:dyDescent="0.3">
      <c r="A120" s="71"/>
      <c r="B120" s="31">
        <v>110</v>
      </c>
      <c r="C120" s="37" t="s">
        <v>134</v>
      </c>
      <c r="D120" s="19">
        <v>10373807</v>
      </c>
      <c r="E120" s="19">
        <v>112052052</v>
      </c>
      <c r="F120" s="19">
        <v>2461</v>
      </c>
      <c r="G120" s="20">
        <v>1</v>
      </c>
      <c r="H120" s="53">
        <v>18</v>
      </c>
      <c r="I120" s="53">
        <v>12</v>
      </c>
      <c r="J120" s="53">
        <v>6</v>
      </c>
      <c r="K120" s="53">
        <v>0</v>
      </c>
      <c r="L120" s="53">
        <f t="shared" si="5"/>
        <v>6</v>
      </c>
      <c r="M120" s="53">
        <f t="shared" si="6"/>
        <v>100</v>
      </c>
      <c r="N120" s="6">
        <f t="shared" si="8"/>
        <v>14766</v>
      </c>
      <c r="O120" s="6" t="s">
        <v>69</v>
      </c>
      <c r="P120" s="6" t="s">
        <v>69</v>
      </c>
      <c r="Q120" s="55" t="str">
        <f t="shared" si="7"/>
        <v>GREEN</v>
      </c>
    </row>
    <row r="121" spans="1:17" s="27" customFormat="1" ht="13.2" x14ac:dyDescent="0.3">
      <c r="A121" s="71"/>
      <c r="B121" s="31">
        <v>111</v>
      </c>
      <c r="C121" s="37" t="s">
        <v>135</v>
      </c>
      <c r="D121" s="19">
        <v>10373808</v>
      </c>
      <c r="E121" s="19">
        <v>112052054</v>
      </c>
      <c r="F121" s="19">
        <v>2461</v>
      </c>
      <c r="G121" s="20">
        <v>1</v>
      </c>
      <c r="H121" s="53">
        <v>18</v>
      </c>
      <c r="I121" s="53">
        <v>12</v>
      </c>
      <c r="J121" s="53">
        <v>6</v>
      </c>
      <c r="K121" s="53">
        <v>0</v>
      </c>
      <c r="L121" s="53">
        <f t="shared" si="5"/>
        <v>6</v>
      </c>
      <c r="M121" s="53">
        <f t="shared" si="6"/>
        <v>100</v>
      </c>
      <c r="N121" s="6">
        <f t="shared" si="8"/>
        <v>14766</v>
      </c>
      <c r="O121" s="6" t="s">
        <v>69</v>
      </c>
      <c r="P121" s="6" t="s">
        <v>69</v>
      </c>
      <c r="Q121" s="55" t="str">
        <f t="shared" si="7"/>
        <v>GREEN</v>
      </c>
    </row>
    <row r="122" spans="1:17" s="27" customFormat="1" ht="25.2" x14ac:dyDescent="0.3">
      <c r="A122" s="71"/>
      <c r="B122" s="31">
        <v>112</v>
      </c>
      <c r="C122" s="37" t="s">
        <v>132</v>
      </c>
      <c r="D122" s="19" t="s">
        <v>139</v>
      </c>
      <c r="E122" s="19">
        <v>135009962</v>
      </c>
      <c r="F122" s="19">
        <v>6650</v>
      </c>
      <c r="G122" s="20">
        <v>2</v>
      </c>
      <c r="H122" s="53">
        <v>36</v>
      </c>
      <c r="I122" s="53">
        <v>24</v>
      </c>
      <c r="J122" s="53">
        <v>12</v>
      </c>
      <c r="K122" s="53">
        <v>0</v>
      </c>
      <c r="L122" s="53">
        <f t="shared" si="5"/>
        <v>12</v>
      </c>
      <c r="M122" s="53">
        <f t="shared" si="6"/>
        <v>100</v>
      </c>
      <c r="N122" s="6">
        <f t="shared" si="8"/>
        <v>79800</v>
      </c>
      <c r="O122" s="6" t="s">
        <v>69</v>
      </c>
      <c r="P122" s="6" t="s">
        <v>69</v>
      </c>
      <c r="Q122" s="55" t="str">
        <f t="shared" si="7"/>
        <v>GREEN</v>
      </c>
    </row>
    <row r="123" spans="1:17" s="27" customFormat="1" ht="25.2" x14ac:dyDescent="0.3">
      <c r="A123" s="71"/>
      <c r="B123" s="31">
        <v>113</v>
      </c>
      <c r="C123" s="37" t="s">
        <v>133</v>
      </c>
      <c r="D123" s="19" t="s">
        <v>140</v>
      </c>
      <c r="E123" s="19">
        <v>135009956</v>
      </c>
      <c r="F123" s="19">
        <v>6650</v>
      </c>
      <c r="G123" s="20">
        <v>2</v>
      </c>
      <c r="H123" s="53">
        <v>36</v>
      </c>
      <c r="I123" s="53">
        <v>24</v>
      </c>
      <c r="J123" s="53">
        <v>12</v>
      </c>
      <c r="K123" s="53">
        <v>0</v>
      </c>
      <c r="L123" s="53">
        <f t="shared" si="5"/>
        <v>12</v>
      </c>
      <c r="M123" s="53">
        <f t="shared" si="6"/>
        <v>100</v>
      </c>
      <c r="N123" s="6">
        <f t="shared" si="8"/>
        <v>79800</v>
      </c>
      <c r="O123" s="6" t="s">
        <v>69</v>
      </c>
      <c r="P123" s="6" t="s">
        <v>69</v>
      </c>
      <c r="Q123" s="55" t="str">
        <f t="shared" si="7"/>
        <v>GREEN</v>
      </c>
    </row>
    <row r="124" spans="1:17" s="27" customFormat="1" ht="13.2" x14ac:dyDescent="0.3">
      <c r="A124" s="71"/>
      <c r="B124" s="31">
        <v>114</v>
      </c>
      <c r="C124" s="37" t="s">
        <v>108</v>
      </c>
      <c r="D124" s="19">
        <v>10283948</v>
      </c>
      <c r="E124" s="19">
        <v>112507071</v>
      </c>
      <c r="F124" s="19">
        <v>0</v>
      </c>
      <c r="G124" s="20">
        <v>1</v>
      </c>
      <c r="H124" s="53">
        <v>18</v>
      </c>
      <c r="I124" s="53">
        <v>12</v>
      </c>
      <c r="J124" s="53">
        <v>6</v>
      </c>
      <c r="K124" s="53">
        <v>0</v>
      </c>
      <c r="L124" s="53">
        <f t="shared" si="5"/>
        <v>6</v>
      </c>
      <c r="M124" s="53">
        <f t="shared" si="6"/>
        <v>100</v>
      </c>
      <c r="N124" s="6">
        <f t="shared" si="8"/>
        <v>0</v>
      </c>
      <c r="O124" s="6" t="s">
        <v>69</v>
      </c>
      <c r="P124" s="6" t="s">
        <v>69</v>
      </c>
      <c r="Q124" s="55" t="str">
        <f t="shared" si="7"/>
        <v>GREEN</v>
      </c>
    </row>
    <row r="125" spans="1:17" s="56" customFormat="1" ht="15.6" x14ac:dyDescent="0.3">
      <c r="A125" s="58" t="s">
        <v>271</v>
      </c>
      <c r="B125" s="59" t="s">
        <v>271</v>
      </c>
      <c r="C125" s="59" t="s">
        <v>271</v>
      </c>
      <c r="D125" s="59" t="s">
        <v>271</v>
      </c>
      <c r="E125" s="59" t="s">
        <v>271</v>
      </c>
      <c r="F125" s="59" t="s">
        <v>271</v>
      </c>
      <c r="G125" s="59" t="s">
        <v>271</v>
      </c>
      <c r="H125" s="59" t="s">
        <v>271</v>
      </c>
      <c r="I125" s="59" t="s">
        <v>271</v>
      </c>
      <c r="J125" s="59" t="s">
        <v>271</v>
      </c>
      <c r="K125" s="59" t="s">
        <v>271</v>
      </c>
      <c r="L125" s="59" t="s">
        <v>271</v>
      </c>
      <c r="M125" s="59" t="s">
        <v>271</v>
      </c>
      <c r="N125" s="59" t="s">
        <v>271</v>
      </c>
      <c r="O125" s="59" t="s">
        <v>271</v>
      </c>
      <c r="P125" s="59" t="s">
        <v>271</v>
      </c>
      <c r="Q125" s="59" t="s">
        <v>271</v>
      </c>
    </row>
    <row r="126" spans="1:17" s="27" customFormat="1" ht="12.6" x14ac:dyDescent="0.3">
      <c r="A126" s="71" t="s">
        <v>141</v>
      </c>
      <c r="B126" s="31">
        <v>116</v>
      </c>
      <c r="C126" s="37" t="s">
        <v>142</v>
      </c>
      <c r="D126" s="39">
        <v>10323474</v>
      </c>
      <c r="E126" s="1">
        <v>112507157</v>
      </c>
      <c r="F126" s="1">
        <v>0</v>
      </c>
      <c r="G126" s="1">
        <v>1</v>
      </c>
      <c r="H126" s="53">
        <v>9</v>
      </c>
      <c r="I126" s="53">
        <v>6</v>
      </c>
      <c r="J126" s="53">
        <v>3</v>
      </c>
      <c r="K126" s="53">
        <v>0</v>
      </c>
      <c r="L126" s="53">
        <f t="shared" si="5"/>
        <v>3</v>
      </c>
      <c r="M126" s="53">
        <f t="shared" si="6"/>
        <v>100</v>
      </c>
      <c r="N126" s="6">
        <f t="shared" ref="N126:N161" si="9">L126*F126</f>
        <v>0</v>
      </c>
      <c r="O126" s="6" t="s">
        <v>69</v>
      </c>
      <c r="P126" s="6" t="s">
        <v>69</v>
      </c>
      <c r="Q126" s="55" t="str">
        <f t="shared" si="7"/>
        <v>GREEN</v>
      </c>
    </row>
    <row r="127" spans="1:17" s="27" customFormat="1" ht="12.6" x14ac:dyDescent="0.3">
      <c r="A127" s="71"/>
      <c r="B127" s="31">
        <v>117</v>
      </c>
      <c r="C127" s="37" t="s">
        <v>143</v>
      </c>
      <c r="D127" s="39">
        <v>10325202</v>
      </c>
      <c r="E127" s="1">
        <v>112507156</v>
      </c>
      <c r="F127" s="1">
        <v>0</v>
      </c>
      <c r="G127" s="1">
        <v>1</v>
      </c>
      <c r="H127" s="53">
        <v>9</v>
      </c>
      <c r="I127" s="53">
        <v>6</v>
      </c>
      <c r="J127" s="53">
        <v>3</v>
      </c>
      <c r="K127" s="53">
        <v>0</v>
      </c>
      <c r="L127" s="53">
        <f t="shared" si="5"/>
        <v>3</v>
      </c>
      <c r="M127" s="53">
        <f t="shared" si="6"/>
        <v>100</v>
      </c>
      <c r="N127" s="6">
        <f t="shared" si="9"/>
        <v>0</v>
      </c>
      <c r="O127" s="6" t="s">
        <v>69</v>
      </c>
      <c r="P127" s="6" t="s">
        <v>69</v>
      </c>
      <c r="Q127" s="55" t="str">
        <f t="shared" si="7"/>
        <v>GREEN</v>
      </c>
    </row>
    <row r="128" spans="1:17" s="27" customFormat="1" ht="12.6" x14ac:dyDescent="0.3">
      <c r="A128" s="71"/>
      <c r="B128" s="31">
        <v>118</v>
      </c>
      <c r="C128" s="37" t="s">
        <v>143</v>
      </c>
      <c r="D128" s="39">
        <v>10325203</v>
      </c>
      <c r="E128" s="1">
        <v>112507158</v>
      </c>
      <c r="F128" s="1">
        <v>0</v>
      </c>
      <c r="G128" s="1">
        <v>1</v>
      </c>
      <c r="H128" s="53">
        <v>9</v>
      </c>
      <c r="I128" s="53">
        <v>6</v>
      </c>
      <c r="J128" s="53">
        <v>3</v>
      </c>
      <c r="K128" s="53">
        <v>0</v>
      </c>
      <c r="L128" s="53">
        <f t="shared" si="5"/>
        <v>3</v>
      </c>
      <c r="M128" s="53">
        <f t="shared" si="6"/>
        <v>100</v>
      </c>
      <c r="N128" s="6">
        <f t="shared" si="9"/>
        <v>0</v>
      </c>
      <c r="O128" s="6" t="s">
        <v>69</v>
      </c>
      <c r="P128" s="6" t="s">
        <v>69</v>
      </c>
      <c r="Q128" s="55" t="str">
        <f t="shared" si="7"/>
        <v>GREEN</v>
      </c>
    </row>
    <row r="129" spans="1:17" s="27" customFormat="1" ht="12.6" x14ac:dyDescent="0.3">
      <c r="A129" s="71"/>
      <c r="B129" s="31">
        <v>119</v>
      </c>
      <c r="C129" s="37" t="s">
        <v>8</v>
      </c>
      <c r="D129" s="39" t="s">
        <v>165</v>
      </c>
      <c r="E129" s="1">
        <v>112507140</v>
      </c>
      <c r="F129" s="1">
        <v>1674</v>
      </c>
      <c r="G129" s="1">
        <v>2</v>
      </c>
      <c r="H129" s="53">
        <v>18</v>
      </c>
      <c r="I129" s="53">
        <v>12</v>
      </c>
      <c r="J129" s="53">
        <v>6</v>
      </c>
      <c r="K129" s="53">
        <v>0</v>
      </c>
      <c r="L129" s="53">
        <f t="shared" si="5"/>
        <v>6</v>
      </c>
      <c r="M129" s="53">
        <f t="shared" si="6"/>
        <v>100</v>
      </c>
      <c r="N129" s="6">
        <f t="shared" si="9"/>
        <v>10044</v>
      </c>
      <c r="O129" s="6" t="s">
        <v>69</v>
      </c>
      <c r="P129" s="6" t="s">
        <v>69</v>
      </c>
      <c r="Q129" s="55" t="str">
        <f t="shared" si="7"/>
        <v>GREEN</v>
      </c>
    </row>
    <row r="130" spans="1:17" s="27" customFormat="1" ht="12.6" x14ac:dyDescent="0.3">
      <c r="A130" s="71"/>
      <c r="B130" s="31">
        <v>120</v>
      </c>
      <c r="C130" s="37" t="s">
        <v>10</v>
      </c>
      <c r="D130" s="39">
        <v>10323479</v>
      </c>
      <c r="E130" s="1">
        <v>112507155</v>
      </c>
      <c r="F130" s="1">
        <v>1920</v>
      </c>
      <c r="G130" s="1">
        <v>2</v>
      </c>
      <c r="H130" s="53">
        <v>18</v>
      </c>
      <c r="I130" s="53">
        <v>12</v>
      </c>
      <c r="J130" s="53">
        <v>6</v>
      </c>
      <c r="K130" s="53">
        <v>0</v>
      </c>
      <c r="L130" s="53">
        <f t="shared" si="5"/>
        <v>6</v>
      </c>
      <c r="M130" s="53">
        <f t="shared" si="6"/>
        <v>100</v>
      </c>
      <c r="N130" s="6">
        <f t="shared" si="9"/>
        <v>11520</v>
      </c>
      <c r="O130" s="6" t="s">
        <v>69</v>
      </c>
      <c r="P130" s="6" t="s">
        <v>69</v>
      </c>
      <c r="Q130" s="55" t="str">
        <f t="shared" si="7"/>
        <v>GREEN</v>
      </c>
    </row>
    <row r="131" spans="1:17" s="27" customFormat="1" ht="12.6" x14ac:dyDescent="0.3">
      <c r="A131" s="71"/>
      <c r="B131" s="31">
        <v>121</v>
      </c>
      <c r="C131" s="37" t="s">
        <v>144</v>
      </c>
      <c r="D131" s="39">
        <v>10323737</v>
      </c>
      <c r="E131" s="1">
        <v>112507154</v>
      </c>
      <c r="F131" s="1">
        <v>358</v>
      </c>
      <c r="G131" s="1">
        <v>2</v>
      </c>
      <c r="H131" s="53">
        <v>18</v>
      </c>
      <c r="I131" s="53">
        <v>12</v>
      </c>
      <c r="J131" s="53">
        <v>6</v>
      </c>
      <c r="K131" s="53">
        <v>0</v>
      </c>
      <c r="L131" s="53">
        <f t="shared" si="5"/>
        <v>6</v>
      </c>
      <c r="M131" s="53">
        <f t="shared" si="6"/>
        <v>100</v>
      </c>
      <c r="N131" s="6">
        <f t="shared" si="9"/>
        <v>2148</v>
      </c>
      <c r="O131" s="6" t="s">
        <v>69</v>
      </c>
      <c r="P131" s="6" t="s">
        <v>69</v>
      </c>
      <c r="Q131" s="55" t="str">
        <f t="shared" si="7"/>
        <v>GREEN</v>
      </c>
    </row>
    <row r="132" spans="1:17" s="27" customFormat="1" ht="12.6" x14ac:dyDescent="0.3">
      <c r="A132" s="71"/>
      <c r="B132" s="31">
        <v>122</v>
      </c>
      <c r="C132" s="37" t="s">
        <v>11</v>
      </c>
      <c r="D132" s="39">
        <v>10323478</v>
      </c>
      <c r="E132" s="1">
        <v>112507141</v>
      </c>
      <c r="F132" s="1">
        <v>1013</v>
      </c>
      <c r="G132" s="1">
        <v>1</v>
      </c>
      <c r="H132" s="53">
        <v>9</v>
      </c>
      <c r="I132" s="53">
        <v>6</v>
      </c>
      <c r="J132" s="53">
        <v>3</v>
      </c>
      <c r="K132" s="53">
        <v>0</v>
      </c>
      <c r="L132" s="53">
        <f t="shared" si="5"/>
        <v>3</v>
      </c>
      <c r="M132" s="53">
        <f t="shared" si="6"/>
        <v>100</v>
      </c>
      <c r="N132" s="6">
        <f t="shared" si="9"/>
        <v>3039</v>
      </c>
      <c r="O132" s="6" t="s">
        <v>69</v>
      </c>
      <c r="P132" s="6" t="s">
        <v>69</v>
      </c>
      <c r="Q132" s="55" t="str">
        <f t="shared" si="7"/>
        <v>GREEN</v>
      </c>
    </row>
    <row r="133" spans="1:17" s="27" customFormat="1" ht="12.6" x14ac:dyDescent="0.3">
      <c r="A133" s="71"/>
      <c r="B133" s="31">
        <v>123</v>
      </c>
      <c r="C133" s="37" t="s">
        <v>12</v>
      </c>
      <c r="D133" s="39">
        <v>10323480</v>
      </c>
      <c r="E133" s="1">
        <v>112507142</v>
      </c>
      <c r="F133" s="1">
        <v>1013</v>
      </c>
      <c r="G133" s="1">
        <v>1</v>
      </c>
      <c r="H133" s="53">
        <v>9</v>
      </c>
      <c r="I133" s="53">
        <v>6</v>
      </c>
      <c r="J133" s="53">
        <v>3</v>
      </c>
      <c r="K133" s="53">
        <v>0</v>
      </c>
      <c r="L133" s="53">
        <f t="shared" si="5"/>
        <v>3</v>
      </c>
      <c r="M133" s="53">
        <f t="shared" si="6"/>
        <v>100</v>
      </c>
      <c r="N133" s="6">
        <f t="shared" si="9"/>
        <v>3039</v>
      </c>
      <c r="O133" s="6" t="s">
        <v>69</v>
      </c>
      <c r="P133" s="6" t="s">
        <v>69</v>
      </c>
      <c r="Q133" s="55" t="str">
        <f t="shared" si="7"/>
        <v>GREEN</v>
      </c>
    </row>
    <row r="134" spans="1:17" s="27" customFormat="1" ht="12.6" x14ac:dyDescent="0.3">
      <c r="A134" s="71"/>
      <c r="B134" s="31">
        <v>124</v>
      </c>
      <c r="C134" s="37" t="s">
        <v>145</v>
      </c>
      <c r="D134" s="39">
        <v>10323481</v>
      </c>
      <c r="E134" s="1">
        <v>112507143</v>
      </c>
      <c r="F134" s="1">
        <v>1362</v>
      </c>
      <c r="G134" s="1">
        <v>1</v>
      </c>
      <c r="H134" s="53">
        <v>9</v>
      </c>
      <c r="I134" s="53">
        <v>6</v>
      </c>
      <c r="J134" s="53">
        <v>3</v>
      </c>
      <c r="K134" s="53">
        <v>0</v>
      </c>
      <c r="L134" s="53">
        <f t="shared" si="5"/>
        <v>3</v>
      </c>
      <c r="M134" s="53">
        <f t="shared" si="6"/>
        <v>100</v>
      </c>
      <c r="N134" s="6">
        <f t="shared" si="9"/>
        <v>4086</v>
      </c>
      <c r="O134" s="6" t="s">
        <v>69</v>
      </c>
      <c r="P134" s="6" t="s">
        <v>69</v>
      </c>
      <c r="Q134" s="55" t="str">
        <f t="shared" si="7"/>
        <v>GREEN</v>
      </c>
    </row>
    <row r="135" spans="1:17" s="27" customFormat="1" ht="12.6" x14ac:dyDescent="0.3">
      <c r="A135" s="71"/>
      <c r="B135" s="31">
        <v>125</v>
      </c>
      <c r="C135" s="37" t="s">
        <v>146</v>
      </c>
      <c r="D135" s="39">
        <v>10323482</v>
      </c>
      <c r="E135" s="1">
        <v>112507144</v>
      </c>
      <c r="F135" s="1">
        <v>1362</v>
      </c>
      <c r="G135" s="1">
        <v>1</v>
      </c>
      <c r="H135" s="53">
        <v>9</v>
      </c>
      <c r="I135" s="53">
        <v>6</v>
      </c>
      <c r="J135" s="53">
        <v>3</v>
      </c>
      <c r="K135" s="53">
        <v>0</v>
      </c>
      <c r="L135" s="53">
        <f t="shared" si="5"/>
        <v>3</v>
      </c>
      <c r="M135" s="53">
        <f t="shared" si="6"/>
        <v>100</v>
      </c>
      <c r="N135" s="6">
        <f t="shared" si="9"/>
        <v>4086</v>
      </c>
      <c r="O135" s="6" t="s">
        <v>69</v>
      </c>
      <c r="P135" s="6" t="s">
        <v>69</v>
      </c>
      <c r="Q135" s="55" t="str">
        <f t="shared" si="7"/>
        <v>GREEN</v>
      </c>
    </row>
    <row r="136" spans="1:17" s="27" customFormat="1" ht="12.6" x14ac:dyDescent="0.3">
      <c r="A136" s="71"/>
      <c r="B136" s="31">
        <v>126</v>
      </c>
      <c r="C136" s="37" t="s">
        <v>147</v>
      </c>
      <c r="D136" s="39">
        <v>10304492</v>
      </c>
      <c r="E136" s="1">
        <v>112507145</v>
      </c>
      <c r="F136" s="1">
        <v>106</v>
      </c>
      <c r="G136" s="1">
        <v>2</v>
      </c>
      <c r="H136" s="53">
        <v>18</v>
      </c>
      <c r="I136" s="53">
        <v>12</v>
      </c>
      <c r="J136" s="53">
        <v>6</v>
      </c>
      <c r="K136" s="53">
        <v>0</v>
      </c>
      <c r="L136" s="53">
        <f t="shared" si="5"/>
        <v>6</v>
      </c>
      <c r="M136" s="53">
        <f t="shared" si="6"/>
        <v>100</v>
      </c>
      <c r="N136" s="6">
        <f t="shared" si="9"/>
        <v>636</v>
      </c>
      <c r="O136" s="6" t="s">
        <v>69</v>
      </c>
      <c r="P136" s="6" t="s">
        <v>69</v>
      </c>
      <c r="Q136" s="55" t="str">
        <f t="shared" si="7"/>
        <v>GREEN</v>
      </c>
    </row>
    <row r="137" spans="1:17" s="27" customFormat="1" ht="12.6" x14ac:dyDescent="0.3">
      <c r="A137" s="71"/>
      <c r="B137" s="31">
        <v>127</v>
      </c>
      <c r="C137" s="37" t="s">
        <v>148</v>
      </c>
      <c r="D137" s="39">
        <v>10323773</v>
      </c>
      <c r="E137" s="1">
        <v>112507146</v>
      </c>
      <c r="F137" s="1">
        <v>106</v>
      </c>
      <c r="G137" s="1">
        <v>2</v>
      </c>
      <c r="H137" s="53">
        <v>18</v>
      </c>
      <c r="I137" s="53">
        <v>12</v>
      </c>
      <c r="J137" s="53">
        <v>6</v>
      </c>
      <c r="K137" s="53">
        <v>0</v>
      </c>
      <c r="L137" s="53">
        <f t="shared" si="5"/>
        <v>6</v>
      </c>
      <c r="M137" s="53">
        <f t="shared" si="6"/>
        <v>100</v>
      </c>
      <c r="N137" s="6">
        <f t="shared" si="9"/>
        <v>636</v>
      </c>
      <c r="O137" s="6" t="s">
        <v>69</v>
      </c>
      <c r="P137" s="6" t="s">
        <v>69</v>
      </c>
      <c r="Q137" s="55" t="str">
        <f t="shared" si="7"/>
        <v>GREEN</v>
      </c>
    </row>
    <row r="138" spans="1:17" s="27" customFormat="1" ht="12.6" x14ac:dyDescent="0.3">
      <c r="A138" s="71"/>
      <c r="B138" s="31">
        <v>128</v>
      </c>
      <c r="C138" s="37" t="s">
        <v>13</v>
      </c>
      <c r="D138" s="39">
        <v>10323512</v>
      </c>
      <c r="E138" s="1">
        <v>112507153</v>
      </c>
      <c r="F138" s="1">
        <v>436</v>
      </c>
      <c r="G138" s="1">
        <v>2</v>
      </c>
      <c r="H138" s="53">
        <v>18</v>
      </c>
      <c r="I138" s="53">
        <v>12</v>
      </c>
      <c r="J138" s="53">
        <v>6</v>
      </c>
      <c r="K138" s="53">
        <v>0</v>
      </c>
      <c r="L138" s="53">
        <f t="shared" si="5"/>
        <v>6</v>
      </c>
      <c r="M138" s="53">
        <f t="shared" si="6"/>
        <v>100</v>
      </c>
      <c r="N138" s="6">
        <f t="shared" si="9"/>
        <v>2616</v>
      </c>
      <c r="O138" s="6" t="s">
        <v>69</v>
      </c>
      <c r="P138" s="6" t="s">
        <v>69</v>
      </c>
      <c r="Q138" s="55" t="str">
        <f t="shared" si="7"/>
        <v>GREEN</v>
      </c>
    </row>
    <row r="139" spans="1:17" s="27" customFormat="1" ht="12.6" x14ac:dyDescent="0.3">
      <c r="A139" s="71"/>
      <c r="B139" s="31">
        <v>129</v>
      </c>
      <c r="C139" s="37" t="s">
        <v>149</v>
      </c>
      <c r="D139" s="39">
        <v>10049260</v>
      </c>
      <c r="E139" s="1">
        <v>112507152</v>
      </c>
      <c r="F139" s="1">
        <v>0</v>
      </c>
      <c r="G139" s="1">
        <v>2</v>
      </c>
      <c r="H139" s="53">
        <v>18</v>
      </c>
      <c r="I139" s="53">
        <v>12</v>
      </c>
      <c r="J139" s="53">
        <v>6</v>
      </c>
      <c r="K139" s="53">
        <v>0</v>
      </c>
      <c r="L139" s="53">
        <f t="shared" ref="L139:L202" si="10">J139-K139</f>
        <v>6</v>
      </c>
      <c r="M139" s="53">
        <f t="shared" ref="M139:M202" si="11">L139/J139*100</f>
        <v>100</v>
      </c>
      <c r="N139" s="6">
        <f t="shared" si="9"/>
        <v>0</v>
      </c>
      <c r="O139" s="6" t="s">
        <v>69</v>
      </c>
      <c r="P139" s="6" t="s">
        <v>69</v>
      </c>
      <c r="Q139" s="55" t="str">
        <f t="shared" ref="Q139:Q202" si="12">IF(AND(I139+L139&gt;=0.75*H139),"GREEN",IF(AND(I139+L139&gt;0.5*H139,I139+L139&lt;0.75*H139),"YELLOW",IF(AND(I139+L139&lt;=0.5*H139),"RED","INVALID")))</f>
        <v>GREEN</v>
      </c>
    </row>
    <row r="140" spans="1:17" s="27" customFormat="1" ht="25.2" x14ac:dyDescent="0.3">
      <c r="A140" s="71"/>
      <c r="B140" s="31">
        <v>130</v>
      </c>
      <c r="C140" s="37" t="s">
        <v>20</v>
      </c>
      <c r="D140" s="39">
        <v>10039783</v>
      </c>
      <c r="E140" s="1">
        <v>112507151</v>
      </c>
      <c r="F140" s="1">
        <v>388</v>
      </c>
      <c r="G140" s="1">
        <v>2</v>
      </c>
      <c r="H140" s="53">
        <v>18</v>
      </c>
      <c r="I140" s="53">
        <v>12</v>
      </c>
      <c r="J140" s="53">
        <v>6</v>
      </c>
      <c r="K140" s="53">
        <v>0</v>
      </c>
      <c r="L140" s="53">
        <f t="shared" si="10"/>
        <v>6</v>
      </c>
      <c r="M140" s="53">
        <f t="shared" si="11"/>
        <v>100</v>
      </c>
      <c r="N140" s="6">
        <f t="shared" si="9"/>
        <v>2328</v>
      </c>
      <c r="O140" s="6" t="s">
        <v>69</v>
      </c>
      <c r="P140" s="6" t="s">
        <v>69</v>
      </c>
      <c r="Q140" s="55" t="str">
        <f t="shared" si="12"/>
        <v>GREEN</v>
      </c>
    </row>
    <row r="141" spans="1:17" s="27" customFormat="1" ht="12.6" x14ac:dyDescent="0.3">
      <c r="A141" s="71"/>
      <c r="B141" s="31">
        <v>131</v>
      </c>
      <c r="C141" s="37" t="s">
        <v>22</v>
      </c>
      <c r="D141" s="39" t="s">
        <v>166</v>
      </c>
      <c r="E141" s="1">
        <v>112507122</v>
      </c>
      <c r="F141" s="1">
        <v>254</v>
      </c>
      <c r="G141" s="1">
        <v>2</v>
      </c>
      <c r="H141" s="53">
        <v>18</v>
      </c>
      <c r="I141" s="53">
        <v>12</v>
      </c>
      <c r="J141" s="53">
        <v>6</v>
      </c>
      <c r="K141" s="53">
        <v>0</v>
      </c>
      <c r="L141" s="53">
        <f t="shared" si="10"/>
        <v>6</v>
      </c>
      <c r="M141" s="53">
        <f t="shared" si="11"/>
        <v>100</v>
      </c>
      <c r="N141" s="6">
        <f t="shared" si="9"/>
        <v>1524</v>
      </c>
      <c r="O141" s="6" t="s">
        <v>69</v>
      </c>
      <c r="P141" s="6" t="s">
        <v>69</v>
      </c>
      <c r="Q141" s="55" t="str">
        <f t="shared" si="12"/>
        <v>GREEN</v>
      </c>
    </row>
    <row r="142" spans="1:17" s="27" customFormat="1" ht="12.6" x14ac:dyDescent="0.3">
      <c r="A142" s="71"/>
      <c r="B142" s="31">
        <v>132</v>
      </c>
      <c r="C142" s="37" t="s">
        <v>150</v>
      </c>
      <c r="D142" s="39" t="s">
        <v>167</v>
      </c>
      <c r="E142" s="1" t="s">
        <v>69</v>
      </c>
      <c r="F142" s="1">
        <v>0</v>
      </c>
      <c r="G142" s="1">
        <v>4</v>
      </c>
      <c r="H142" s="53">
        <v>36</v>
      </c>
      <c r="I142" s="53">
        <v>24</v>
      </c>
      <c r="J142" s="53">
        <v>12</v>
      </c>
      <c r="K142" s="53">
        <v>0</v>
      </c>
      <c r="L142" s="53">
        <f t="shared" si="10"/>
        <v>12</v>
      </c>
      <c r="M142" s="53">
        <f t="shared" si="11"/>
        <v>100</v>
      </c>
      <c r="N142" s="6">
        <f t="shared" si="9"/>
        <v>0</v>
      </c>
      <c r="O142" s="6" t="s">
        <v>69</v>
      </c>
      <c r="P142" s="6" t="s">
        <v>69</v>
      </c>
      <c r="Q142" s="55" t="str">
        <f t="shared" si="12"/>
        <v>GREEN</v>
      </c>
    </row>
    <row r="143" spans="1:17" s="27" customFormat="1" ht="12.6" x14ac:dyDescent="0.3">
      <c r="A143" s="71"/>
      <c r="B143" s="31">
        <v>133</v>
      </c>
      <c r="C143" s="37" t="s">
        <v>150</v>
      </c>
      <c r="D143" s="39" t="s">
        <v>69</v>
      </c>
      <c r="E143" s="1">
        <v>102070090</v>
      </c>
      <c r="F143" s="1">
        <v>657</v>
      </c>
      <c r="G143" s="1">
        <v>4</v>
      </c>
      <c r="H143" s="53">
        <v>36</v>
      </c>
      <c r="I143" s="53">
        <v>24</v>
      </c>
      <c r="J143" s="53">
        <v>12</v>
      </c>
      <c r="K143" s="53">
        <v>0</v>
      </c>
      <c r="L143" s="53">
        <f t="shared" si="10"/>
        <v>12</v>
      </c>
      <c r="M143" s="53">
        <f t="shared" si="11"/>
        <v>100</v>
      </c>
      <c r="N143" s="6">
        <f t="shared" si="9"/>
        <v>7884</v>
      </c>
      <c r="O143" s="6" t="s">
        <v>69</v>
      </c>
      <c r="P143" s="6" t="s">
        <v>69</v>
      </c>
      <c r="Q143" s="55" t="str">
        <f t="shared" si="12"/>
        <v>GREEN</v>
      </c>
    </row>
    <row r="144" spans="1:17" s="27" customFormat="1" ht="25.2" x14ac:dyDescent="0.3">
      <c r="A144" s="71"/>
      <c r="B144" s="31">
        <v>134</v>
      </c>
      <c r="C144" s="37" t="s">
        <v>151</v>
      </c>
      <c r="D144" s="39" t="s">
        <v>168</v>
      </c>
      <c r="E144" s="1">
        <v>112507101</v>
      </c>
      <c r="F144" s="1">
        <v>1280</v>
      </c>
      <c r="G144" s="1">
        <v>4</v>
      </c>
      <c r="H144" s="53">
        <v>36</v>
      </c>
      <c r="I144" s="53">
        <v>24</v>
      </c>
      <c r="J144" s="53">
        <v>12</v>
      </c>
      <c r="K144" s="53">
        <v>0</v>
      </c>
      <c r="L144" s="53">
        <f t="shared" si="10"/>
        <v>12</v>
      </c>
      <c r="M144" s="53">
        <f t="shared" si="11"/>
        <v>100</v>
      </c>
      <c r="N144" s="6">
        <f t="shared" si="9"/>
        <v>15360</v>
      </c>
      <c r="O144" s="6" t="s">
        <v>69</v>
      </c>
      <c r="P144" s="6" t="s">
        <v>69</v>
      </c>
      <c r="Q144" s="55" t="str">
        <f t="shared" si="12"/>
        <v>GREEN</v>
      </c>
    </row>
    <row r="145" spans="1:17" s="27" customFormat="1" ht="25.2" x14ac:dyDescent="0.3">
      <c r="A145" s="71"/>
      <c r="B145" s="31">
        <v>135</v>
      </c>
      <c r="C145" s="37" t="s">
        <v>28</v>
      </c>
      <c r="D145" s="39" t="s">
        <v>29</v>
      </c>
      <c r="E145" s="1">
        <v>135008041</v>
      </c>
      <c r="F145" s="1">
        <v>0</v>
      </c>
      <c r="G145" s="1">
        <v>4</v>
      </c>
      <c r="H145" s="53">
        <v>36</v>
      </c>
      <c r="I145" s="53">
        <v>24</v>
      </c>
      <c r="J145" s="53">
        <v>12</v>
      </c>
      <c r="K145" s="53">
        <v>0</v>
      </c>
      <c r="L145" s="53">
        <f t="shared" si="10"/>
        <v>12</v>
      </c>
      <c r="M145" s="53">
        <f t="shared" si="11"/>
        <v>100</v>
      </c>
      <c r="N145" s="6">
        <f t="shared" si="9"/>
        <v>0</v>
      </c>
      <c r="O145" s="6" t="s">
        <v>69</v>
      </c>
      <c r="P145" s="6" t="s">
        <v>69</v>
      </c>
      <c r="Q145" s="55" t="str">
        <f t="shared" si="12"/>
        <v>GREEN</v>
      </c>
    </row>
    <row r="146" spans="1:17" s="27" customFormat="1" ht="12.6" x14ac:dyDescent="0.3">
      <c r="A146" s="71"/>
      <c r="B146" s="31">
        <v>136</v>
      </c>
      <c r="C146" s="37" t="s">
        <v>245</v>
      </c>
      <c r="D146" s="39">
        <v>10030134</v>
      </c>
      <c r="E146" s="1">
        <v>112507135</v>
      </c>
      <c r="F146" s="1">
        <v>209</v>
      </c>
      <c r="G146" s="1">
        <v>4</v>
      </c>
      <c r="H146" s="53">
        <v>36</v>
      </c>
      <c r="I146" s="53">
        <v>24</v>
      </c>
      <c r="J146" s="53">
        <v>12</v>
      </c>
      <c r="K146" s="53">
        <v>0</v>
      </c>
      <c r="L146" s="53">
        <f t="shared" si="10"/>
        <v>12</v>
      </c>
      <c r="M146" s="53">
        <f t="shared" si="11"/>
        <v>100</v>
      </c>
      <c r="N146" s="6">
        <f t="shared" si="9"/>
        <v>2508</v>
      </c>
      <c r="O146" s="6" t="s">
        <v>69</v>
      </c>
      <c r="P146" s="6" t="s">
        <v>69</v>
      </c>
      <c r="Q146" s="55" t="str">
        <f t="shared" si="12"/>
        <v>GREEN</v>
      </c>
    </row>
    <row r="147" spans="1:17" s="27" customFormat="1" ht="12.6" x14ac:dyDescent="0.3">
      <c r="A147" s="71"/>
      <c r="B147" s="31">
        <v>137</v>
      </c>
      <c r="C147" s="37" t="s">
        <v>30</v>
      </c>
      <c r="D147" s="39" t="s">
        <v>31</v>
      </c>
      <c r="E147" s="1">
        <v>112507051</v>
      </c>
      <c r="F147" s="1">
        <v>58</v>
      </c>
      <c r="G147" s="1">
        <v>2</v>
      </c>
      <c r="H147" s="53">
        <v>18</v>
      </c>
      <c r="I147" s="53">
        <v>12</v>
      </c>
      <c r="J147" s="53">
        <v>6</v>
      </c>
      <c r="K147" s="53">
        <v>0</v>
      </c>
      <c r="L147" s="53">
        <f t="shared" si="10"/>
        <v>6</v>
      </c>
      <c r="M147" s="53">
        <f t="shared" si="11"/>
        <v>100</v>
      </c>
      <c r="N147" s="6">
        <f t="shared" si="9"/>
        <v>348</v>
      </c>
      <c r="O147" s="6" t="s">
        <v>69</v>
      </c>
      <c r="P147" s="6" t="s">
        <v>69</v>
      </c>
      <c r="Q147" s="55" t="str">
        <f t="shared" si="12"/>
        <v>GREEN</v>
      </c>
    </row>
    <row r="148" spans="1:17" s="27" customFormat="1" ht="25.2" x14ac:dyDescent="0.3">
      <c r="A148" s="71"/>
      <c r="B148" s="31">
        <v>138</v>
      </c>
      <c r="C148" s="37" t="s">
        <v>152</v>
      </c>
      <c r="D148" s="39">
        <v>10037342</v>
      </c>
      <c r="E148" s="1">
        <v>112507150</v>
      </c>
      <c r="F148" s="1">
        <v>0</v>
      </c>
      <c r="G148" s="1">
        <v>8</v>
      </c>
      <c r="H148" s="53">
        <v>72</v>
      </c>
      <c r="I148" s="53">
        <v>48</v>
      </c>
      <c r="J148" s="53">
        <v>24</v>
      </c>
      <c r="K148" s="53">
        <v>0</v>
      </c>
      <c r="L148" s="53">
        <f t="shared" si="10"/>
        <v>24</v>
      </c>
      <c r="M148" s="53">
        <f t="shared" si="11"/>
        <v>100</v>
      </c>
      <c r="N148" s="6">
        <f t="shared" si="9"/>
        <v>0</v>
      </c>
      <c r="O148" s="6" t="s">
        <v>69</v>
      </c>
      <c r="P148" s="6" t="s">
        <v>69</v>
      </c>
      <c r="Q148" s="55" t="str">
        <f t="shared" si="12"/>
        <v>GREEN</v>
      </c>
    </row>
    <row r="149" spans="1:17" s="27" customFormat="1" ht="25.2" x14ac:dyDescent="0.3">
      <c r="A149" s="71"/>
      <c r="B149" s="31">
        <v>139</v>
      </c>
      <c r="C149" s="37" t="s">
        <v>153</v>
      </c>
      <c r="D149" s="39">
        <v>10037398</v>
      </c>
      <c r="E149" s="1">
        <v>112507149</v>
      </c>
      <c r="F149" s="1">
        <v>0</v>
      </c>
      <c r="G149" s="1">
        <v>2</v>
      </c>
      <c r="H149" s="53">
        <v>18</v>
      </c>
      <c r="I149" s="53">
        <v>12</v>
      </c>
      <c r="J149" s="53">
        <v>6</v>
      </c>
      <c r="K149" s="53">
        <v>0</v>
      </c>
      <c r="L149" s="53">
        <f t="shared" si="10"/>
        <v>6</v>
      </c>
      <c r="M149" s="53">
        <f t="shared" si="11"/>
        <v>100</v>
      </c>
      <c r="N149" s="6">
        <f t="shared" si="9"/>
        <v>0</v>
      </c>
      <c r="O149" s="6" t="s">
        <v>69</v>
      </c>
      <c r="P149" s="6" t="s">
        <v>69</v>
      </c>
      <c r="Q149" s="55" t="str">
        <f t="shared" si="12"/>
        <v>GREEN</v>
      </c>
    </row>
    <row r="150" spans="1:17" s="27" customFormat="1" ht="12.6" x14ac:dyDescent="0.3">
      <c r="A150" s="71"/>
      <c r="B150" s="31">
        <v>140</v>
      </c>
      <c r="C150" s="37" t="s">
        <v>34</v>
      </c>
      <c r="D150" s="39" t="s">
        <v>35</v>
      </c>
      <c r="E150" s="1">
        <v>112507127</v>
      </c>
      <c r="F150" s="1">
        <v>0</v>
      </c>
      <c r="G150" s="1">
        <v>2</v>
      </c>
      <c r="H150" s="53">
        <v>18</v>
      </c>
      <c r="I150" s="53">
        <v>12</v>
      </c>
      <c r="J150" s="53">
        <v>6</v>
      </c>
      <c r="K150" s="53">
        <v>0</v>
      </c>
      <c r="L150" s="53">
        <f t="shared" si="10"/>
        <v>6</v>
      </c>
      <c r="M150" s="53">
        <f t="shared" si="11"/>
        <v>100</v>
      </c>
      <c r="N150" s="6">
        <f t="shared" si="9"/>
        <v>0</v>
      </c>
      <c r="O150" s="6" t="s">
        <v>69</v>
      </c>
      <c r="P150" s="6" t="s">
        <v>69</v>
      </c>
      <c r="Q150" s="55" t="str">
        <f t="shared" si="12"/>
        <v>GREEN</v>
      </c>
    </row>
    <row r="151" spans="1:17" s="27" customFormat="1" ht="12.6" x14ac:dyDescent="0.3">
      <c r="A151" s="71"/>
      <c r="B151" s="31">
        <v>141</v>
      </c>
      <c r="C151" s="37" t="s">
        <v>154</v>
      </c>
      <c r="D151" s="39">
        <v>10374816</v>
      </c>
      <c r="E151" s="1">
        <v>112507160</v>
      </c>
      <c r="F151" s="1">
        <v>0</v>
      </c>
      <c r="G151" s="1">
        <v>2</v>
      </c>
      <c r="H151" s="53">
        <v>18</v>
      </c>
      <c r="I151" s="53">
        <v>12</v>
      </c>
      <c r="J151" s="53">
        <v>6</v>
      </c>
      <c r="K151" s="53">
        <v>0</v>
      </c>
      <c r="L151" s="53">
        <f t="shared" si="10"/>
        <v>6</v>
      </c>
      <c r="M151" s="53">
        <f t="shared" si="11"/>
        <v>100</v>
      </c>
      <c r="N151" s="6">
        <f t="shared" si="9"/>
        <v>0</v>
      </c>
      <c r="O151" s="6" t="s">
        <v>69</v>
      </c>
      <c r="P151" s="6" t="s">
        <v>69</v>
      </c>
      <c r="Q151" s="55" t="str">
        <f t="shared" si="12"/>
        <v>GREEN</v>
      </c>
    </row>
    <row r="152" spans="1:17" s="27" customFormat="1" ht="25.2" x14ac:dyDescent="0.3">
      <c r="A152" s="71"/>
      <c r="B152" s="31">
        <v>142</v>
      </c>
      <c r="C152" s="37" t="s">
        <v>155</v>
      </c>
      <c r="D152" s="39" t="s">
        <v>169</v>
      </c>
      <c r="E152" s="1">
        <v>112507136</v>
      </c>
      <c r="F152" s="1">
        <v>5859</v>
      </c>
      <c r="G152" s="1">
        <v>2</v>
      </c>
      <c r="H152" s="53">
        <v>18</v>
      </c>
      <c r="I152" s="53">
        <v>12</v>
      </c>
      <c r="J152" s="53">
        <v>6</v>
      </c>
      <c r="K152" s="53">
        <v>0</v>
      </c>
      <c r="L152" s="53">
        <f t="shared" si="10"/>
        <v>6</v>
      </c>
      <c r="M152" s="53">
        <f t="shared" si="11"/>
        <v>100</v>
      </c>
      <c r="N152" s="6">
        <f t="shared" si="9"/>
        <v>35154</v>
      </c>
      <c r="O152" s="6" t="s">
        <v>69</v>
      </c>
      <c r="P152" s="6" t="s">
        <v>69</v>
      </c>
      <c r="Q152" s="55" t="str">
        <f t="shared" si="12"/>
        <v>GREEN</v>
      </c>
    </row>
    <row r="153" spans="1:17" s="27" customFormat="1" ht="25.2" x14ac:dyDescent="0.3">
      <c r="A153" s="71"/>
      <c r="B153" s="31">
        <v>143</v>
      </c>
      <c r="C153" s="38" t="s">
        <v>156</v>
      </c>
      <c r="D153" s="39" t="s">
        <v>170</v>
      </c>
      <c r="E153" s="1">
        <v>112507137</v>
      </c>
      <c r="F153" s="1">
        <v>5859</v>
      </c>
      <c r="G153" s="1">
        <v>2</v>
      </c>
      <c r="H153" s="53">
        <v>18</v>
      </c>
      <c r="I153" s="53">
        <v>12</v>
      </c>
      <c r="J153" s="53">
        <v>6</v>
      </c>
      <c r="K153" s="53">
        <v>0</v>
      </c>
      <c r="L153" s="53">
        <f t="shared" si="10"/>
        <v>6</v>
      </c>
      <c r="M153" s="53">
        <f t="shared" si="11"/>
        <v>100</v>
      </c>
      <c r="N153" s="6">
        <f t="shared" si="9"/>
        <v>35154</v>
      </c>
      <c r="O153" s="6" t="s">
        <v>69</v>
      </c>
      <c r="P153" s="6" t="s">
        <v>69</v>
      </c>
      <c r="Q153" s="55" t="str">
        <f t="shared" si="12"/>
        <v>GREEN</v>
      </c>
    </row>
    <row r="154" spans="1:17" s="27" customFormat="1" ht="12.6" x14ac:dyDescent="0.3">
      <c r="A154" s="71"/>
      <c r="B154" s="31">
        <v>144</v>
      </c>
      <c r="C154" s="37" t="s">
        <v>157</v>
      </c>
      <c r="D154" s="39">
        <v>10380090</v>
      </c>
      <c r="E154" s="1">
        <v>112507138</v>
      </c>
      <c r="F154" s="1">
        <v>12136</v>
      </c>
      <c r="G154" s="1">
        <v>2</v>
      </c>
      <c r="H154" s="53">
        <v>18</v>
      </c>
      <c r="I154" s="53">
        <v>12</v>
      </c>
      <c r="J154" s="53">
        <v>6</v>
      </c>
      <c r="K154" s="53">
        <v>0</v>
      </c>
      <c r="L154" s="53">
        <f t="shared" si="10"/>
        <v>6</v>
      </c>
      <c r="M154" s="53">
        <f t="shared" si="11"/>
        <v>100</v>
      </c>
      <c r="N154" s="6">
        <f t="shared" si="9"/>
        <v>72816</v>
      </c>
      <c r="O154" s="6" t="s">
        <v>69</v>
      </c>
      <c r="P154" s="6" t="s">
        <v>69</v>
      </c>
      <c r="Q154" s="55" t="str">
        <f t="shared" si="12"/>
        <v>GREEN</v>
      </c>
    </row>
    <row r="155" spans="1:17" s="27" customFormat="1" ht="12.6" x14ac:dyDescent="0.3">
      <c r="A155" s="71"/>
      <c r="B155" s="31">
        <v>145</v>
      </c>
      <c r="C155" s="37" t="s">
        <v>158</v>
      </c>
      <c r="D155" s="39">
        <v>10380089</v>
      </c>
      <c r="E155" s="1">
        <v>112507139</v>
      </c>
      <c r="F155" s="1">
        <v>9486</v>
      </c>
      <c r="G155" s="1">
        <v>2</v>
      </c>
      <c r="H155" s="53">
        <v>18</v>
      </c>
      <c r="I155" s="53">
        <v>12</v>
      </c>
      <c r="J155" s="53">
        <v>6</v>
      </c>
      <c r="K155" s="53">
        <v>0</v>
      </c>
      <c r="L155" s="53">
        <f t="shared" si="10"/>
        <v>6</v>
      </c>
      <c r="M155" s="53">
        <f t="shared" si="11"/>
        <v>100</v>
      </c>
      <c r="N155" s="6">
        <f t="shared" si="9"/>
        <v>56916</v>
      </c>
      <c r="O155" s="6" t="s">
        <v>69</v>
      </c>
      <c r="P155" s="6" t="s">
        <v>69</v>
      </c>
      <c r="Q155" s="55" t="str">
        <f t="shared" si="12"/>
        <v>GREEN</v>
      </c>
    </row>
    <row r="156" spans="1:17" s="27" customFormat="1" ht="12.6" x14ac:dyDescent="0.3">
      <c r="A156" s="71"/>
      <c r="B156" s="31">
        <v>146</v>
      </c>
      <c r="C156" s="38" t="s">
        <v>159</v>
      </c>
      <c r="D156" s="39">
        <v>10325207</v>
      </c>
      <c r="E156" s="1">
        <v>112507159</v>
      </c>
      <c r="F156" s="1">
        <v>0</v>
      </c>
      <c r="G156" s="1">
        <v>1</v>
      </c>
      <c r="H156" s="53">
        <v>9</v>
      </c>
      <c r="I156" s="53">
        <v>6</v>
      </c>
      <c r="J156" s="53">
        <v>3</v>
      </c>
      <c r="K156" s="53">
        <v>0</v>
      </c>
      <c r="L156" s="53">
        <f t="shared" si="10"/>
        <v>3</v>
      </c>
      <c r="M156" s="53">
        <f t="shared" si="11"/>
        <v>100</v>
      </c>
      <c r="N156" s="6">
        <f t="shared" si="9"/>
        <v>0</v>
      </c>
      <c r="O156" s="6" t="s">
        <v>69</v>
      </c>
      <c r="P156" s="6" t="s">
        <v>69</v>
      </c>
      <c r="Q156" s="55" t="str">
        <f t="shared" si="12"/>
        <v>GREEN</v>
      </c>
    </row>
    <row r="157" spans="1:17" s="27" customFormat="1" ht="25.2" x14ac:dyDescent="0.3">
      <c r="A157" s="71"/>
      <c r="B157" s="31">
        <v>147</v>
      </c>
      <c r="C157" s="37" t="s">
        <v>160</v>
      </c>
      <c r="D157" s="39" t="s">
        <v>171</v>
      </c>
      <c r="E157" s="1">
        <v>135008107</v>
      </c>
      <c r="F157" s="1">
        <v>3990</v>
      </c>
      <c r="G157" s="1">
        <v>2</v>
      </c>
      <c r="H157" s="53">
        <v>18</v>
      </c>
      <c r="I157" s="53">
        <v>12</v>
      </c>
      <c r="J157" s="53">
        <v>6</v>
      </c>
      <c r="K157" s="53">
        <v>0</v>
      </c>
      <c r="L157" s="53">
        <f t="shared" si="10"/>
        <v>6</v>
      </c>
      <c r="M157" s="53">
        <f t="shared" si="11"/>
        <v>100</v>
      </c>
      <c r="N157" s="6">
        <f t="shared" si="9"/>
        <v>23940</v>
      </c>
      <c r="O157" s="6" t="s">
        <v>69</v>
      </c>
      <c r="P157" s="6" t="s">
        <v>69</v>
      </c>
      <c r="Q157" s="55" t="str">
        <f t="shared" si="12"/>
        <v>GREEN</v>
      </c>
    </row>
    <row r="158" spans="1:17" s="27" customFormat="1" ht="25.2" x14ac:dyDescent="0.3">
      <c r="A158" s="71"/>
      <c r="B158" s="31">
        <v>148</v>
      </c>
      <c r="C158" s="38" t="s">
        <v>161</v>
      </c>
      <c r="D158" s="39" t="s">
        <v>172</v>
      </c>
      <c r="E158" s="1">
        <v>135008044</v>
      </c>
      <c r="F158" s="1">
        <v>4600</v>
      </c>
      <c r="G158" s="1">
        <v>2</v>
      </c>
      <c r="H158" s="53">
        <v>18</v>
      </c>
      <c r="I158" s="53">
        <v>12</v>
      </c>
      <c r="J158" s="53">
        <v>6</v>
      </c>
      <c r="K158" s="53">
        <v>0</v>
      </c>
      <c r="L158" s="53">
        <f t="shared" si="10"/>
        <v>6</v>
      </c>
      <c r="M158" s="53">
        <f t="shared" si="11"/>
        <v>100</v>
      </c>
      <c r="N158" s="6">
        <f t="shared" si="9"/>
        <v>27600</v>
      </c>
      <c r="O158" s="6" t="s">
        <v>69</v>
      </c>
      <c r="P158" s="6" t="s">
        <v>69</v>
      </c>
      <c r="Q158" s="55" t="str">
        <f t="shared" si="12"/>
        <v>GREEN</v>
      </c>
    </row>
    <row r="159" spans="1:17" s="27" customFormat="1" ht="12.6" x14ac:dyDescent="0.3">
      <c r="A159" s="71"/>
      <c r="B159" s="31">
        <v>149</v>
      </c>
      <c r="C159" s="38" t="s">
        <v>162</v>
      </c>
      <c r="D159" s="39" t="s">
        <v>69</v>
      </c>
      <c r="E159" s="1" t="s">
        <v>174</v>
      </c>
      <c r="F159" s="1">
        <v>0</v>
      </c>
      <c r="G159" s="1">
        <v>2</v>
      </c>
      <c r="H159" s="53">
        <v>18</v>
      </c>
      <c r="I159" s="53">
        <v>12</v>
      </c>
      <c r="J159" s="53">
        <v>6</v>
      </c>
      <c r="K159" s="53">
        <v>0</v>
      </c>
      <c r="L159" s="53">
        <f t="shared" si="10"/>
        <v>6</v>
      </c>
      <c r="M159" s="53">
        <f t="shared" si="11"/>
        <v>100</v>
      </c>
      <c r="N159" s="6">
        <f t="shared" si="9"/>
        <v>0</v>
      </c>
      <c r="O159" s="6" t="s">
        <v>69</v>
      </c>
      <c r="P159" s="6" t="s">
        <v>69</v>
      </c>
      <c r="Q159" s="55" t="str">
        <f t="shared" si="12"/>
        <v>GREEN</v>
      </c>
    </row>
    <row r="160" spans="1:17" s="27" customFormat="1" ht="12.6" x14ac:dyDescent="0.3">
      <c r="A160" s="71"/>
      <c r="B160" s="31">
        <v>150</v>
      </c>
      <c r="C160" s="38" t="s">
        <v>163</v>
      </c>
      <c r="D160" s="39" t="s">
        <v>69</v>
      </c>
      <c r="E160" s="1" t="s">
        <v>174</v>
      </c>
      <c r="F160" s="1">
        <v>0</v>
      </c>
      <c r="G160" s="1">
        <v>2</v>
      </c>
      <c r="H160" s="53">
        <v>18</v>
      </c>
      <c r="I160" s="53">
        <v>12</v>
      </c>
      <c r="J160" s="53">
        <v>6</v>
      </c>
      <c r="K160" s="53">
        <v>0</v>
      </c>
      <c r="L160" s="53">
        <f t="shared" si="10"/>
        <v>6</v>
      </c>
      <c r="M160" s="53">
        <f t="shared" si="11"/>
        <v>100</v>
      </c>
      <c r="N160" s="6">
        <f t="shared" si="9"/>
        <v>0</v>
      </c>
      <c r="O160" s="6" t="s">
        <v>69</v>
      </c>
      <c r="P160" s="6" t="s">
        <v>69</v>
      </c>
      <c r="Q160" s="55" t="str">
        <f t="shared" si="12"/>
        <v>GREEN</v>
      </c>
    </row>
    <row r="161" spans="1:17" s="27" customFormat="1" ht="25.2" x14ac:dyDescent="0.3">
      <c r="A161" s="71"/>
      <c r="B161" s="31">
        <v>151</v>
      </c>
      <c r="C161" s="38" t="s">
        <v>164</v>
      </c>
      <c r="D161" s="39" t="s">
        <v>173</v>
      </c>
      <c r="E161" s="1">
        <v>135008111</v>
      </c>
      <c r="F161" s="1">
        <v>0</v>
      </c>
      <c r="G161" s="1">
        <v>2</v>
      </c>
      <c r="H161" s="53">
        <v>18</v>
      </c>
      <c r="I161" s="53">
        <v>12</v>
      </c>
      <c r="J161" s="53">
        <v>6</v>
      </c>
      <c r="K161" s="53">
        <v>0</v>
      </c>
      <c r="L161" s="53">
        <f t="shared" si="10"/>
        <v>6</v>
      </c>
      <c r="M161" s="53">
        <f t="shared" si="11"/>
        <v>100</v>
      </c>
      <c r="N161" s="6">
        <f t="shared" si="9"/>
        <v>0</v>
      </c>
      <c r="O161" s="6" t="s">
        <v>69</v>
      </c>
      <c r="P161" s="6" t="s">
        <v>69</v>
      </c>
      <c r="Q161" s="55" t="str">
        <f t="shared" si="12"/>
        <v>GREEN</v>
      </c>
    </row>
    <row r="162" spans="1:17" s="56" customFormat="1" ht="15.6" x14ac:dyDescent="0.3">
      <c r="A162" s="58" t="s">
        <v>271</v>
      </c>
      <c r="B162" s="59" t="s">
        <v>271</v>
      </c>
      <c r="C162" s="59" t="s">
        <v>271</v>
      </c>
      <c r="D162" s="59" t="s">
        <v>271</v>
      </c>
      <c r="E162" s="59" t="s">
        <v>271</v>
      </c>
      <c r="F162" s="59" t="s">
        <v>271</v>
      </c>
      <c r="G162" s="59" t="s">
        <v>271</v>
      </c>
      <c r="H162" s="59" t="s">
        <v>271</v>
      </c>
      <c r="I162" s="59" t="s">
        <v>271</v>
      </c>
      <c r="J162" s="59" t="s">
        <v>271</v>
      </c>
      <c r="K162" s="59" t="s">
        <v>271</v>
      </c>
      <c r="L162" s="59" t="s">
        <v>271</v>
      </c>
      <c r="M162" s="59" t="s">
        <v>271</v>
      </c>
      <c r="N162" s="59" t="s">
        <v>271</v>
      </c>
      <c r="O162" s="59" t="s">
        <v>271</v>
      </c>
      <c r="P162" s="59" t="s">
        <v>271</v>
      </c>
      <c r="Q162" s="59" t="s">
        <v>271</v>
      </c>
    </row>
    <row r="163" spans="1:17" s="27" customFormat="1" ht="12.6" x14ac:dyDescent="0.3">
      <c r="A163" s="71" t="s">
        <v>175</v>
      </c>
      <c r="B163" s="31">
        <v>153</v>
      </c>
      <c r="C163" s="1" t="s">
        <v>176</v>
      </c>
      <c r="D163" s="1">
        <v>10316547</v>
      </c>
      <c r="E163" s="1">
        <v>112507126</v>
      </c>
      <c r="F163" s="1">
        <v>0</v>
      </c>
      <c r="G163" s="1">
        <v>1</v>
      </c>
      <c r="H163" s="53">
        <v>18</v>
      </c>
      <c r="I163" s="53">
        <v>12</v>
      </c>
      <c r="J163" s="53">
        <v>6</v>
      </c>
      <c r="K163" s="53">
        <v>0</v>
      </c>
      <c r="L163" s="53">
        <f t="shared" si="10"/>
        <v>6</v>
      </c>
      <c r="M163" s="53">
        <f t="shared" si="11"/>
        <v>100</v>
      </c>
      <c r="N163" s="6">
        <f t="shared" ref="N163:N196" si="13">L163*F163</f>
        <v>0</v>
      </c>
      <c r="O163" s="6" t="s">
        <v>69</v>
      </c>
      <c r="P163" s="6" t="s">
        <v>69</v>
      </c>
      <c r="Q163" s="55" t="str">
        <f t="shared" si="12"/>
        <v>GREEN</v>
      </c>
    </row>
    <row r="164" spans="1:17" s="27" customFormat="1" ht="12.6" x14ac:dyDescent="0.3">
      <c r="A164" s="71"/>
      <c r="B164" s="31">
        <v>154</v>
      </c>
      <c r="C164" s="1" t="s">
        <v>177</v>
      </c>
      <c r="D164" s="1">
        <v>10239025</v>
      </c>
      <c r="E164" s="1">
        <v>112507125</v>
      </c>
      <c r="F164" s="1">
        <v>21049</v>
      </c>
      <c r="G164" s="1">
        <v>1</v>
      </c>
      <c r="H164" s="53">
        <v>18</v>
      </c>
      <c r="I164" s="53">
        <v>12</v>
      </c>
      <c r="J164" s="53">
        <v>6</v>
      </c>
      <c r="K164" s="53">
        <v>0</v>
      </c>
      <c r="L164" s="53">
        <f t="shared" si="10"/>
        <v>6</v>
      </c>
      <c r="M164" s="53">
        <f t="shared" si="11"/>
        <v>100</v>
      </c>
      <c r="N164" s="6">
        <f t="shared" si="13"/>
        <v>126294</v>
      </c>
      <c r="O164" s="6" t="s">
        <v>69</v>
      </c>
      <c r="P164" s="6" t="s">
        <v>69</v>
      </c>
      <c r="Q164" s="55" t="str">
        <f t="shared" si="12"/>
        <v>GREEN</v>
      </c>
    </row>
    <row r="165" spans="1:17" s="27" customFormat="1" ht="12.6" x14ac:dyDescent="0.3">
      <c r="A165" s="71"/>
      <c r="B165" s="31">
        <v>155</v>
      </c>
      <c r="C165" s="1" t="s">
        <v>177</v>
      </c>
      <c r="D165" s="1">
        <v>10239024</v>
      </c>
      <c r="E165" s="1">
        <v>112507124</v>
      </c>
      <c r="F165" s="1">
        <v>21049</v>
      </c>
      <c r="G165" s="1">
        <v>1</v>
      </c>
      <c r="H165" s="53">
        <v>18</v>
      </c>
      <c r="I165" s="53">
        <v>12</v>
      </c>
      <c r="J165" s="53">
        <v>6</v>
      </c>
      <c r="K165" s="53">
        <v>0</v>
      </c>
      <c r="L165" s="53">
        <f t="shared" si="10"/>
        <v>6</v>
      </c>
      <c r="M165" s="53">
        <f t="shared" si="11"/>
        <v>100</v>
      </c>
      <c r="N165" s="6">
        <f t="shared" si="13"/>
        <v>126294</v>
      </c>
      <c r="O165" s="6" t="s">
        <v>69</v>
      </c>
      <c r="P165" s="6" t="s">
        <v>69</v>
      </c>
      <c r="Q165" s="55" t="str">
        <f t="shared" si="12"/>
        <v>GREEN</v>
      </c>
    </row>
    <row r="166" spans="1:17" s="27" customFormat="1" ht="12.6" x14ac:dyDescent="0.3">
      <c r="A166" s="71"/>
      <c r="B166" s="31">
        <v>156</v>
      </c>
      <c r="C166" s="1" t="s">
        <v>8</v>
      </c>
      <c r="D166" s="1" t="s">
        <v>194</v>
      </c>
      <c r="E166" s="1">
        <v>112507106</v>
      </c>
      <c r="F166" s="1">
        <v>1280</v>
      </c>
      <c r="G166" s="1">
        <v>2</v>
      </c>
      <c r="H166" s="53">
        <v>6</v>
      </c>
      <c r="I166" s="53">
        <v>4</v>
      </c>
      <c r="J166" s="53">
        <v>2</v>
      </c>
      <c r="K166" s="53">
        <v>0</v>
      </c>
      <c r="L166" s="53">
        <f t="shared" si="10"/>
        <v>2</v>
      </c>
      <c r="M166" s="53">
        <f t="shared" si="11"/>
        <v>100</v>
      </c>
      <c r="N166" s="6">
        <f t="shared" si="13"/>
        <v>2560</v>
      </c>
      <c r="O166" s="6" t="s">
        <v>69</v>
      </c>
      <c r="P166" s="6" t="s">
        <v>69</v>
      </c>
      <c r="Q166" s="55" t="str">
        <f t="shared" si="12"/>
        <v>GREEN</v>
      </c>
    </row>
    <row r="167" spans="1:17" s="27" customFormat="1" ht="12.6" x14ac:dyDescent="0.3">
      <c r="A167" s="71"/>
      <c r="B167" s="31">
        <v>157</v>
      </c>
      <c r="C167" s="1" t="s">
        <v>10</v>
      </c>
      <c r="D167" s="1">
        <v>10212276</v>
      </c>
      <c r="E167" s="1">
        <v>112507103</v>
      </c>
      <c r="F167" s="1">
        <v>414</v>
      </c>
      <c r="G167" s="1">
        <v>4</v>
      </c>
      <c r="H167" s="53">
        <v>72</v>
      </c>
      <c r="I167" s="53">
        <v>48</v>
      </c>
      <c r="J167" s="53">
        <v>24</v>
      </c>
      <c r="K167" s="53">
        <v>0</v>
      </c>
      <c r="L167" s="53">
        <f t="shared" si="10"/>
        <v>24</v>
      </c>
      <c r="M167" s="53">
        <f t="shared" si="11"/>
        <v>100</v>
      </c>
      <c r="N167" s="6">
        <f t="shared" si="13"/>
        <v>9936</v>
      </c>
      <c r="O167" s="6" t="s">
        <v>69</v>
      </c>
      <c r="P167" s="6" t="s">
        <v>69</v>
      </c>
      <c r="Q167" s="55" t="str">
        <f t="shared" si="12"/>
        <v>GREEN</v>
      </c>
    </row>
    <row r="168" spans="1:17" s="27" customFormat="1" ht="25.2" x14ac:dyDescent="0.3">
      <c r="A168" s="71"/>
      <c r="B168" s="31">
        <v>158</v>
      </c>
      <c r="C168" s="1" t="s">
        <v>178</v>
      </c>
      <c r="D168" s="1">
        <v>10032267</v>
      </c>
      <c r="E168" s="1">
        <v>112507111</v>
      </c>
      <c r="F168" s="1">
        <v>7842</v>
      </c>
      <c r="G168" s="1">
        <v>1</v>
      </c>
      <c r="H168" s="53">
        <v>18</v>
      </c>
      <c r="I168" s="53">
        <v>12</v>
      </c>
      <c r="J168" s="53">
        <v>6</v>
      </c>
      <c r="K168" s="53">
        <v>0</v>
      </c>
      <c r="L168" s="53">
        <f t="shared" si="10"/>
        <v>6</v>
      </c>
      <c r="M168" s="53">
        <f t="shared" si="11"/>
        <v>100</v>
      </c>
      <c r="N168" s="6">
        <f t="shared" si="13"/>
        <v>47052</v>
      </c>
      <c r="O168" s="6" t="s">
        <v>69</v>
      </c>
      <c r="P168" s="6" t="s">
        <v>69</v>
      </c>
      <c r="Q168" s="55" t="str">
        <f t="shared" si="12"/>
        <v>GREEN</v>
      </c>
    </row>
    <row r="169" spans="1:17" s="27" customFormat="1" ht="25.2" x14ac:dyDescent="0.3">
      <c r="A169" s="71"/>
      <c r="B169" s="31">
        <v>159</v>
      </c>
      <c r="C169" s="1" t="s">
        <v>178</v>
      </c>
      <c r="D169" s="1">
        <v>10032268</v>
      </c>
      <c r="E169" s="1">
        <v>112507112</v>
      </c>
      <c r="F169" s="1">
        <v>7842</v>
      </c>
      <c r="G169" s="1">
        <v>1</v>
      </c>
      <c r="H169" s="53">
        <v>18</v>
      </c>
      <c r="I169" s="53">
        <v>12</v>
      </c>
      <c r="J169" s="53">
        <v>6</v>
      </c>
      <c r="K169" s="53">
        <v>0</v>
      </c>
      <c r="L169" s="53">
        <f t="shared" si="10"/>
        <v>6</v>
      </c>
      <c r="M169" s="53">
        <f t="shared" si="11"/>
        <v>100</v>
      </c>
      <c r="N169" s="6">
        <f t="shared" si="13"/>
        <v>47052</v>
      </c>
      <c r="O169" s="6" t="s">
        <v>69</v>
      </c>
      <c r="P169" s="6" t="s">
        <v>69</v>
      </c>
      <c r="Q169" s="55" t="str">
        <f t="shared" si="12"/>
        <v>GREEN</v>
      </c>
    </row>
    <row r="170" spans="1:17" s="27" customFormat="1" ht="12.6" x14ac:dyDescent="0.3">
      <c r="A170" s="71"/>
      <c r="B170" s="31">
        <v>160</v>
      </c>
      <c r="C170" s="1" t="s">
        <v>13</v>
      </c>
      <c r="D170" s="1" t="s">
        <v>195</v>
      </c>
      <c r="E170" s="1">
        <v>112507123</v>
      </c>
      <c r="F170" s="1">
        <v>551</v>
      </c>
      <c r="G170" s="1">
        <v>2</v>
      </c>
      <c r="H170" s="53">
        <v>36</v>
      </c>
      <c r="I170" s="53">
        <v>24</v>
      </c>
      <c r="J170" s="53">
        <v>12</v>
      </c>
      <c r="K170" s="53">
        <v>0</v>
      </c>
      <c r="L170" s="53">
        <f t="shared" si="10"/>
        <v>12</v>
      </c>
      <c r="M170" s="53">
        <f t="shared" si="11"/>
        <v>100</v>
      </c>
      <c r="N170" s="6">
        <f t="shared" si="13"/>
        <v>6612</v>
      </c>
      <c r="O170" s="6" t="s">
        <v>69</v>
      </c>
      <c r="P170" s="6" t="s">
        <v>69</v>
      </c>
      <c r="Q170" s="55" t="str">
        <f t="shared" si="12"/>
        <v>GREEN</v>
      </c>
    </row>
    <row r="171" spans="1:17" s="27" customFormat="1" ht="12.6" x14ac:dyDescent="0.3">
      <c r="A171" s="71"/>
      <c r="B171" s="31">
        <v>161</v>
      </c>
      <c r="C171" s="1" t="s">
        <v>15</v>
      </c>
      <c r="D171" s="1">
        <v>10036484</v>
      </c>
      <c r="E171" s="1">
        <v>112507105</v>
      </c>
      <c r="F171" s="1">
        <v>276</v>
      </c>
      <c r="G171" s="1">
        <v>2</v>
      </c>
      <c r="H171" s="53">
        <v>36</v>
      </c>
      <c r="I171" s="53">
        <v>24</v>
      </c>
      <c r="J171" s="53">
        <v>12</v>
      </c>
      <c r="K171" s="53">
        <v>0</v>
      </c>
      <c r="L171" s="53">
        <f t="shared" si="10"/>
        <v>12</v>
      </c>
      <c r="M171" s="53">
        <f t="shared" si="11"/>
        <v>100</v>
      </c>
      <c r="N171" s="6">
        <f t="shared" si="13"/>
        <v>3312</v>
      </c>
      <c r="O171" s="6" t="s">
        <v>69</v>
      </c>
      <c r="P171" s="6" t="s">
        <v>69</v>
      </c>
      <c r="Q171" s="55" t="str">
        <f t="shared" si="12"/>
        <v>GREEN</v>
      </c>
    </row>
    <row r="172" spans="1:17" s="27" customFormat="1" ht="25.2" x14ac:dyDescent="0.3">
      <c r="A172" s="71"/>
      <c r="B172" s="31">
        <v>162</v>
      </c>
      <c r="C172" s="1" t="s">
        <v>179</v>
      </c>
      <c r="D172" s="1" t="s">
        <v>196</v>
      </c>
      <c r="E172" s="1">
        <v>112507102</v>
      </c>
      <c r="F172" s="1">
        <v>750</v>
      </c>
      <c r="G172" s="1">
        <v>4</v>
      </c>
      <c r="H172" s="53">
        <v>72</v>
      </c>
      <c r="I172" s="53">
        <v>48</v>
      </c>
      <c r="J172" s="53">
        <v>24</v>
      </c>
      <c r="K172" s="53">
        <v>0</v>
      </c>
      <c r="L172" s="53">
        <f t="shared" si="10"/>
        <v>24</v>
      </c>
      <c r="M172" s="53">
        <f t="shared" si="11"/>
        <v>100</v>
      </c>
      <c r="N172" s="6">
        <f t="shared" si="13"/>
        <v>18000</v>
      </c>
      <c r="O172" s="6" t="s">
        <v>69</v>
      </c>
      <c r="P172" s="6" t="s">
        <v>69</v>
      </c>
      <c r="Q172" s="55" t="str">
        <f t="shared" si="12"/>
        <v>GREEN</v>
      </c>
    </row>
    <row r="173" spans="1:17" s="27" customFormat="1" ht="12.6" x14ac:dyDescent="0.3">
      <c r="A173" s="71"/>
      <c r="B173" s="31">
        <v>163</v>
      </c>
      <c r="C173" s="1" t="s">
        <v>18</v>
      </c>
      <c r="D173" s="1" t="s">
        <v>197</v>
      </c>
      <c r="E173" s="1">
        <v>112507104</v>
      </c>
      <c r="F173" s="1">
        <v>459</v>
      </c>
      <c r="G173" s="1">
        <v>4</v>
      </c>
      <c r="H173" s="53">
        <v>12</v>
      </c>
      <c r="I173" s="53">
        <v>0</v>
      </c>
      <c r="J173" s="53">
        <v>10</v>
      </c>
      <c r="K173" s="53">
        <v>3</v>
      </c>
      <c r="L173" s="53">
        <f t="shared" si="10"/>
        <v>7</v>
      </c>
      <c r="M173" s="53">
        <f t="shared" si="11"/>
        <v>70</v>
      </c>
      <c r="N173" s="6">
        <f t="shared" si="13"/>
        <v>3213</v>
      </c>
      <c r="O173" s="6" t="s">
        <v>69</v>
      </c>
      <c r="P173" s="6" t="s">
        <v>69</v>
      </c>
      <c r="Q173" s="55" t="str">
        <f t="shared" si="12"/>
        <v>YELLOW</v>
      </c>
    </row>
    <row r="174" spans="1:17" s="27" customFormat="1" ht="25.2" x14ac:dyDescent="0.3">
      <c r="A174" s="71"/>
      <c r="B174" s="31">
        <v>164</v>
      </c>
      <c r="C174" s="1" t="s">
        <v>20</v>
      </c>
      <c r="D174" s="1" t="s">
        <v>198</v>
      </c>
      <c r="E174" s="1">
        <v>112507113</v>
      </c>
      <c r="F174" s="1">
        <v>276</v>
      </c>
      <c r="G174" s="1">
        <v>2</v>
      </c>
      <c r="H174" s="53">
        <v>36</v>
      </c>
      <c r="I174" s="53">
        <v>24</v>
      </c>
      <c r="J174" s="53">
        <v>12</v>
      </c>
      <c r="K174" s="53">
        <v>0</v>
      </c>
      <c r="L174" s="53">
        <f t="shared" si="10"/>
        <v>12</v>
      </c>
      <c r="M174" s="53">
        <f t="shared" si="11"/>
        <v>100</v>
      </c>
      <c r="N174" s="6">
        <f t="shared" si="13"/>
        <v>3312</v>
      </c>
      <c r="O174" s="6" t="s">
        <v>69</v>
      </c>
      <c r="P174" s="6" t="s">
        <v>69</v>
      </c>
      <c r="Q174" s="55" t="str">
        <f t="shared" si="12"/>
        <v>GREEN</v>
      </c>
    </row>
    <row r="175" spans="1:17" s="27" customFormat="1" ht="12.6" x14ac:dyDescent="0.3">
      <c r="A175" s="71"/>
      <c r="B175" s="31">
        <v>165</v>
      </c>
      <c r="C175" s="1" t="s">
        <v>22</v>
      </c>
      <c r="D175" s="1" t="s">
        <v>199</v>
      </c>
      <c r="E175" s="1">
        <v>112507122</v>
      </c>
      <c r="F175" s="1">
        <v>254</v>
      </c>
      <c r="G175" s="1">
        <v>2</v>
      </c>
      <c r="H175" s="53">
        <v>36</v>
      </c>
      <c r="I175" s="53">
        <v>24</v>
      </c>
      <c r="J175" s="53">
        <v>12</v>
      </c>
      <c r="K175" s="53">
        <v>0</v>
      </c>
      <c r="L175" s="53">
        <f t="shared" si="10"/>
        <v>12</v>
      </c>
      <c r="M175" s="53">
        <f t="shared" si="11"/>
        <v>100</v>
      </c>
      <c r="N175" s="6">
        <f t="shared" si="13"/>
        <v>3048</v>
      </c>
      <c r="O175" s="6" t="s">
        <v>69</v>
      </c>
      <c r="P175" s="6" t="s">
        <v>69</v>
      </c>
      <c r="Q175" s="55" t="str">
        <f t="shared" si="12"/>
        <v>GREEN</v>
      </c>
    </row>
    <row r="176" spans="1:17" s="27" customFormat="1" ht="12.6" x14ac:dyDescent="0.3">
      <c r="A176" s="71"/>
      <c r="B176" s="31">
        <v>166</v>
      </c>
      <c r="C176" s="1" t="s">
        <v>180</v>
      </c>
      <c r="D176" s="1" t="s">
        <v>200</v>
      </c>
      <c r="E176" s="1"/>
      <c r="F176" s="1"/>
      <c r="G176" s="1">
        <v>4</v>
      </c>
      <c r="H176" s="53">
        <v>72</v>
      </c>
      <c r="I176" s="53">
        <v>48</v>
      </c>
      <c r="J176" s="53">
        <v>24</v>
      </c>
      <c r="K176" s="53">
        <v>0</v>
      </c>
      <c r="L176" s="53">
        <f t="shared" si="10"/>
        <v>24</v>
      </c>
      <c r="M176" s="53">
        <f t="shared" si="11"/>
        <v>100</v>
      </c>
      <c r="N176" s="6">
        <f t="shared" si="13"/>
        <v>0</v>
      </c>
      <c r="O176" s="6" t="s">
        <v>69</v>
      </c>
      <c r="P176" s="6" t="s">
        <v>69</v>
      </c>
      <c r="Q176" s="55" t="str">
        <f t="shared" si="12"/>
        <v>GREEN</v>
      </c>
    </row>
    <row r="177" spans="1:17" s="27" customFormat="1" ht="25.2" x14ac:dyDescent="0.3">
      <c r="A177" s="71"/>
      <c r="B177" s="31">
        <v>167</v>
      </c>
      <c r="C177" s="1" t="s">
        <v>26</v>
      </c>
      <c r="D177" s="1" t="s">
        <v>27</v>
      </c>
      <c r="E177" s="1">
        <v>112507101</v>
      </c>
      <c r="F177" s="1">
        <v>1280</v>
      </c>
      <c r="G177" s="1">
        <v>4</v>
      </c>
      <c r="H177" s="53">
        <v>72</v>
      </c>
      <c r="I177" s="53">
        <v>48</v>
      </c>
      <c r="J177" s="53">
        <v>24</v>
      </c>
      <c r="K177" s="53">
        <v>0</v>
      </c>
      <c r="L177" s="53">
        <f t="shared" si="10"/>
        <v>24</v>
      </c>
      <c r="M177" s="53">
        <f t="shared" si="11"/>
        <v>100</v>
      </c>
      <c r="N177" s="6">
        <f t="shared" si="13"/>
        <v>30720</v>
      </c>
      <c r="O177" s="6" t="s">
        <v>69</v>
      </c>
      <c r="P177" s="6" t="s">
        <v>69</v>
      </c>
      <c r="Q177" s="55" t="str">
        <f t="shared" si="12"/>
        <v>GREEN</v>
      </c>
    </row>
    <row r="178" spans="1:17" s="27" customFormat="1" ht="25.2" x14ac:dyDescent="0.3">
      <c r="A178" s="71"/>
      <c r="B178" s="31">
        <v>168</v>
      </c>
      <c r="C178" s="1" t="s">
        <v>28</v>
      </c>
      <c r="D178" s="1" t="s">
        <v>29</v>
      </c>
      <c r="E178" s="1">
        <v>135008040</v>
      </c>
      <c r="F178" s="1">
        <v>95</v>
      </c>
      <c r="G178" s="1">
        <v>4</v>
      </c>
      <c r="H178" s="53">
        <v>72</v>
      </c>
      <c r="I178" s="53">
        <v>48</v>
      </c>
      <c r="J178" s="53">
        <v>24</v>
      </c>
      <c r="K178" s="53">
        <v>0</v>
      </c>
      <c r="L178" s="53">
        <f t="shared" si="10"/>
        <v>24</v>
      </c>
      <c r="M178" s="53">
        <f t="shared" si="11"/>
        <v>100</v>
      </c>
      <c r="N178" s="6">
        <f t="shared" si="13"/>
        <v>2280</v>
      </c>
      <c r="O178" s="6" t="s">
        <v>69</v>
      </c>
      <c r="P178" s="6" t="s">
        <v>69</v>
      </c>
      <c r="Q178" s="55" t="str">
        <f t="shared" si="12"/>
        <v>GREEN</v>
      </c>
    </row>
    <row r="179" spans="1:17" s="27" customFormat="1" ht="12.6" x14ac:dyDescent="0.3">
      <c r="A179" s="71"/>
      <c r="B179" s="31">
        <v>169</v>
      </c>
      <c r="C179" s="1" t="s">
        <v>63</v>
      </c>
      <c r="D179" s="1">
        <v>10030135</v>
      </c>
      <c r="E179" s="1">
        <v>112507121</v>
      </c>
      <c r="F179" s="1">
        <v>0</v>
      </c>
      <c r="G179" s="1">
        <v>4</v>
      </c>
      <c r="H179" s="53">
        <v>72</v>
      </c>
      <c r="I179" s="53">
        <v>48</v>
      </c>
      <c r="J179" s="53">
        <v>24</v>
      </c>
      <c r="K179" s="53">
        <v>0</v>
      </c>
      <c r="L179" s="53">
        <f t="shared" si="10"/>
        <v>24</v>
      </c>
      <c r="M179" s="53">
        <f t="shared" si="11"/>
        <v>100</v>
      </c>
      <c r="N179" s="6">
        <f t="shared" si="13"/>
        <v>0</v>
      </c>
      <c r="O179" s="6" t="s">
        <v>69</v>
      </c>
      <c r="P179" s="6" t="s">
        <v>69</v>
      </c>
      <c r="Q179" s="55" t="str">
        <f t="shared" si="12"/>
        <v>GREEN</v>
      </c>
    </row>
    <row r="180" spans="1:17" s="27" customFormat="1" ht="12.6" x14ac:dyDescent="0.3">
      <c r="A180" s="71"/>
      <c r="B180" s="31">
        <v>170</v>
      </c>
      <c r="C180" s="1" t="s">
        <v>30</v>
      </c>
      <c r="D180" s="1" t="s">
        <v>31</v>
      </c>
      <c r="E180" s="1">
        <v>112507051</v>
      </c>
      <c r="F180" s="1">
        <v>58</v>
      </c>
      <c r="G180" s="1">
        <v>2</v>
      </c>
      <c r="H180" s="53">
        <v>36</v>
      </c>
      <c r="I180" s="53">
        <v>24</v>
      </c>
      <c r="J180" s="53">
        <v>12</v>
      </c>
      <c r="K180" s="53">
        <v>0</v>
      </c>
      <c r="L180" s="53">
        <f t="shared" si="10"/>
        <v>12</v>
      </c>
      <c r="M180" s="53">
        <f t="shared" si="11"/>
        <v>100</v>
      </c>
      <c r="N180" s="6">
        <f t="shared" si="13"/>
        <v>696</v>
      </c>
      <c r="O180" s="6" t="s">
        <v>69</v>
      </c>
      <c r="P180" s="6" t="s">
        <v>69</v>
      </c>
      <c r="Q180" s="55" t="str">
        <f t="shared" si="12"/>
        <v>GREEN</v>
      </c>
    </row>
    <row r="181" spans="1:17" s="27" customFormat="1" ht="25.2" x14ac:dyDescent="0.3">
      <c r="A181" s="71"/>
      <c r="B181" s="31">
        <v>171</v>
      </c>
      <c r="C181" s="1" t="s">
        <v>32</v>
      </c>
      <c r="D181" s="1">
        <v>10280786</v>
      </c>
      <c r="E181" s="1">
        <v>112507120</v>
      </c>
      <c r="F181" s="1">
        <v>0</v>
      </c>
      <c r="G181" s="1">
        <v>12</v>
      </c>
      <c r="H181" s="53">
        <v>216</v>
      </c>
      <c r="I181" s="53">
        <v>144</v>
      </c>
      <c r="J181" s="53">
        <v>72</v>
      </c>
      <c r="K181" s="53">
        <v>0</v>
      </c>
      <c r="L181" s="53">
        <f t="shared" si="10"/>
        <v>72</v>
      </c>
      <c r="M181" s="53">
        <f t="shared" si="11"/>
        <v>100</v>
      </c>
      <c r="N181" s="6">
        <f t="shared" si="13"/>
        <v>0</v>
      </c>
      <c r="O181" s="6" t="s">
        <v>69</v>
      </c>
      <c r="P181" s="6" t="s">
        <v>69</v>
      </c>
      <c r="Q181" s="55" t="str">
        <f t="shared" si="12"/>
        <v>GREEN</v>
      </c>
    </row>
    <row r="182" spans="1:17" s="27" customFormat="1" ht="25.2" x14ac:dyDescent="0.3">
      <c r="A182" s="71"/>
      <c r="B182" s="31">
        <v>172</v>
      </c>
      <c r="C182" s="1" t="s">
        <v>33</v>
      </c>
      <c r="D182" s="1">
        <v>10068902</v>
      </c>
      <c r="E182" s="1">
        <v>112507119</v>
      </c>
      <c r="F182" s="1">
        <v>0</v>
      </c>
      <c r="G182" s="1">
        <v>2</v>
      </c>
      <c r="H182" s="53">
        <v>36</v>
      </c>
      <c r="I182" s="53">
        <v>24</v>
      </c>
      <c r="J182" s="53">
        <v>12</v>
      </c>
      <c r="K182" s="53">
        <v>12</v>
      </c>
      <c r="L182" s="53">
        <f t="shared" si="10"/>
        <v>0</v>
      </c>
      <c r="M182" s="53">
        <f t="shared" si="11"/>
        <v>0</v>
      </c>
      <c r="N182" s="6">
        <f t="shared" si="13"/>
        <v>0</v>
      </c>
      <c r="O182" s="6" t="s">
        <v>69</v>
      </c>
      <c r="P182" s="6" t="s">
        <v>69</v>
      </c>
      <c r="Q182" s="55" t="str">
        <f t="shared" si="12"/>
        <v>YELLOW</v>
      </c>
    </row>
    <row r="183" spans="1:17" s="27" customFormat="1" ht="12.6" x14ac:dyDescent="0.3">
      <c r="A183" s="71"/>
      <c r="B183" s="31">
        <v>173</v>
      </c>
      <c r="C183" s="1" t="s">
        <v>34</v>
      </c>
      <c r="D183" s="1" t="s">
        <v>35</v>
      </c>
      <c r="E183" s="1">
        <v>112507127</v>
      </c>
      <c r="F183" s="1">
        <v>0</v>
      </c>
      <c r="G183" s="1">
        <v>2</v>
      </c>
      <c r="H183" s="53">
        <v>36</v>
      </c>
      <c r="I183" s="53">
        <v>24</v>
      </c>
      <c r="J183" s="53">
        <v>12</v>
      </c>
      <c r="K183" s="53">
        <v>0</v>
      </c>
      <c r="L183" s="53">
        <f t="shared" si="10"/>
        <v>12</v>
      </c>
      <c r="M183" s="53">
        <f t="shared" si="11"/>
        <v>100</v>
      </c>
      <c r="N183" s="6">
        <f t="shared" si="13"/>
        <v>0</v>
      </c>
      <c r="O183" s="6" t="s">
        <v>69</v>
      </c>
      <c r="P183" s="6" t="s">
        <v>69</v>
      </c>
      <c r="Q183" s="55" t="str">
        <f t="shared" si="12"/>
        <v>GREEN</v>
      </c>
    </row>
    <row r="184" spans="1:17" s="27" customFormat="1" ht="12.6" x14ac:dyDescent="0.3">
      <c r="A184" s="71"/>
      <c r="B184" s="31">
        <v>174</v>
      </c>
      <c r="C184" s="1" t="s">
        <v>181</v>
      </c>
      <c r="D184" s="1">
        <v>10357770</v>
      </c>
      <c r="E184" s="1">
        <v>112507100</v>
      </c>
      <c r="F184" s="1">
        <v>28050</v>
      </c>
      <c r="G184" s="1">
        <v>2</v>
      </c>
      <c r="H184" s="53">
        <v>36</v>
      </c>
      <c r="I184" s="53">
        <v>24</v>
      </c>
      <c r="J184" s="53">
        <v>12</v>
      </c>
      <c r="K184" s="53">
        <v>0</v>
      </c>
      <c r="L184" s="53">
        <f t="shared" si="10"/>
        <v>12</v>
      </c>
      <c r="M184" s="53">
        <f t="shared" si="11"/>
        <v>100</v>
      </c>
      <c r="N184" s="6">
        <f t="shared" si="13"/>
        <v>336600</v>
      </c>
      <c r="O184" s="6" t="s">
        <v>69</v>
      </c>
      <c r="P184" s="6" t="s">
        <v>69</v>
      </c>
      <c r="Q184" s="55" t="str">
        <f t="shared" si="12"/>
        <v>GREEN</v>
      </c>
    </row>
    <row r="185" spans="1:17" s="27" customFormat="1" ht="12.6" x14ac:dyDescent="0.3">
      <c r="A185" s="71"/>
      <c r="B185" s="31">
        <v>175</v>
      </c>
      <c r="C185" s="1" t="s">
        <v>182</v>
      </c>
      <c r="D185" s="1" t="s">
        <v>201</v>
      </c>
      <c r="E185" s="1">
        <v>112507107</v>
      </c>
      <c r="F185" s="1">
        <v>7323</v>
      </c>
      <c r="G185" s="1">
        <v>2</v>
      </c>
      <c r="H185" s="53">
        <v>18</v>
      </c>
      <c r="I185" s="53">
        <v>12</v>
      </c>
      <c r="J185" s="53">
        <v>6</v>
      </c>
      <c r="K185" s="53">
        <v>0</v>
      </c>
      <c r="L185" s="53">
        <f t="shared" si="10"/>
        <v>6</v>
      </c>
      <c r="M185" s="53">
        <f t="shared" si="11"/>
        <v>100</v>
      </c>
      <c r="N185" s="6">
        <f t="shared" si="13"/>
        <v>43938</v>
      </c>
      <c r="O185" s="6" t="s">
        <v>69</v>
      </c>
      <c r="P185" s="6" t="s">
        <v>69</v>
      </c>
      <c r="Q185" s="55" t="str">
        <f t="shared" si="12"/>
        <v>GREEN</v>
      </c>
    </row>
    <row r="186" spans="1:17" s="27" customFormat="1" ht="12.6" x14ac:dyDescent="0.3">
      <c r="A186" s="71"/>
      <c r="B186" s="31">
        <v>176</v>
      </c>
      <c r="C186" s="40" t="s">
        <v>183</v>
      </c>
      <c r="D186" s="1" t="s">
        <v>202</v>
      </c>
      <c r="E186" s="1">
        <v>112507108</v>
      </c>
      <c r="F186" s="1">
        <v>7323</v>
      </c>
      <c r="G186" s="1">
        <v>2</v>
      </c>
      <c r="H186" s="53">
        <v>18</v>
      </c>
      <c r="I186" s="53">
        <v>12</v>
      </c>
      <c r="J186" s="53">
        <v>6</v>
      </c>
      <c r="K186" s="53">
        <v>0</v>
      </c>
      <c r="L186" s="53">
        <f t="shared" si="10"/>
        <v>6</v>
      </c>
      <c r="M186" s="53">
        <f t="shared" si="11"/>
        <v>100</v>
      </c>
      <c r="N186" s="6">
        <f t="shared" si="13"/>
        <v>43938</v>
      </c>
      <c r="O186" s="6" t="s">
        <v>69</v>
      </c>
      <c r="P186" s="6" t="s">
        <v>69</v>
      </c>
      <c r="Q186" s="55" t="str">
        <f t="shared" si="12"/>
        <v>GREEN</v>
      </c>
    </row>
    <row r="187" spans="1:17" s="27" customFormat="1" ht="12.6" x14ac:dyDescent="0.3">
      <c r="A187" s="71"/>
      <c r="B187" s="31">
        <v>177</v>
      </c>
      <c r="C187" s="1" t="s">
        <v>184</v>
      </c>
      <c r="D187" s="1" t="s">
        <v>203</v>
      </c>
      <c r="E187" s="1">
        <v>112507109</v>
      </c>
      <c r="F187" s="1">
        <v>7730</v>
      </c>
      <c r="G187" s="1">
        <v>2</v>
      </c>
      <c r="H187" s="53">
        <v>18</v>
      </c>
      <c r="I187" s="53">
        <v>12</v>
      </c>
      <c r="J187" s="53">
        <v>6</v>
      </c>
      <c r="K187" s="53">
        <v>0</v>
      </c>
      <c r="L187" s="53">
        <f t="shared" si="10"/>
        <v>6</v>
      </c>
      <c r="M187" s="53">
        <f t="shared" si="11"/>
        <v>100</v>
      </c>
      <c r="N187" s="6">
        <f t="shared" si="13"/>
        <v>46380</v>
      </c>
      <c r="O187" s="6" t="s">
        <v>69</v>
      </c>
      <c r="P187" s="6" t="s">
        <v>69</v>
      </c>
      <c r="Q187" s="55" t="str">
        <f t="shared" si="12"/>
        <v>GREEN</v>
      </c>
    </row>
    <row r="188" spans="1:17" s="27" customFormat="1" ht="25.2" x14ac:dyDescent="0.3">
      <c r="A188" s="71"/>
      <c r="B188" s="31">
        <v>178</v>
      </c>
      <c r="C188" s="40" t="s">
        <v>185</v>
      </c>
      <c r="D188" s="1" t="s">
        <v>204</v>
      </c>
      <c r="E188" s="1">
        <v>112507110</v>
      </c>
      <c r="F188" s="1">
        <v>13500</v>
      </c>
      <c r="G188" s="1">
        <v>2</v>
      </c>
      <c r="H188" s="53">
        <v>18</v>
      </c>
      <c r="I188" s="53">
        <v>12</v>
      </c>
      <c r="J188" s="53">
        <v>6</v>
      </c>
      <c r="K188" s="53">
        <v>0</v>
      </c>
      <c r="L188" s="53">
        <f t="shared" si="10"/>
        <v>6</v>
      </c>
      <c r="M188" s="53">
        <f t="shared" si="11"/>
        <v>100</v>
      </c>
      <c r="N188" s="6">
        <f t="shared" si="13"/>
        <v>81000</v>
      </c>
      <c r="O188" s="6" t="s">
        <v>69</v>
      </c>
      <c r="P188" s="6" t="s">
        <v>69</v>
      </c>
      <c r="Q188" s="55" t="str">
        <f t="shared" si="12"/>
        <v>GREEN</v>
      </c>
    </row>
    <row r="189" spans="1:17" s="27" customFormat="1" ht="12.6" x14ac:dyDescent="0.3">
      <c r="A189" s="71"/>
      <c r="B189" s="31">
        <v>179</v>
      </c>
      <c r="C189" s="41" t="s">
        <v>186</v>
      </c>
      <c r="D189" s="24" t="s">
        <v>205</v>
      </c>
      <c r="E189" s="24">
        <v>112507114</v>
      </c>
      <c r="F189" s="24">
        <v>6620</v>
      </c>
      <c r="G189" s="1">
        <v>2</v>
      </c>
      <c r="H189" s="53">
        <v>18</v>
      </c>
      <c r="I189" s="53">
        <v>12</v>
      </c>
      <c r="J189" s="53">
        <v>6</v>
      </c>
      <c r="K189" s="53">
        <v>0</v>
      </c>
      <c r="L189" s="53">
        <f t="shared" si="10"/>
        <v>6</v>
      </c>
      <c r="M189" s="53">
        <f t="shared" si="11"/>
        <v>100</v>
      </c>
      <c r="N189" s="6">
        <f t="shared" si="13"/>
        <v>39720</v>
      </c>
      <c r="O189" s="6" t="s">
        <v>69</v>
      </c>
      <c r="P189" s="6" t="s">
        <v>69</v>
      </c>
      <c r="Q189" s="55" t="str">
        <f t="shared" si="12"/>
        <v>GREEN</v>
      </c>
    </row>
    <row r="190" spans="1:17" s="27" customFormat="1" ht="12.6" x14ac:dyDescent="0.3">
      <c r="A190" s="71"/>
      <c r="B190" s="31">
        <v>180</v>
      </c>
      <c r="C190" s="40" t="s">
        <v>187</v>
      </c>
      <c r="D190" s="1">
        <v>10317358</v>
      </c>
      <c r="E190" s="1">
        <v>112507118</v>
      </c>
      <c r="F190" s="1">
        <v>0</v>
      </c>
      <c r="G190" s="1">
        <v>1</v>
      </c>
      <c r="H190" s="53">
        <v>9</v>
      </c>
      <c r="I190" s="53">
        <v>6</v>
      </c>
      <c r="J190" s="53">
        <v>3</v>
      </c>
      <c r="K190" s="53">
        <v>0</v>
      </c>
      <c r="L190" s="53">
        <f t="shared" si="10"/>
        <v>3</v>
      </c>
      <c r="M190" s="53">
        <f t="shared" si="11"/>
        <v>100</v>
      </c>
      <c r="N190" s="6">
        <f t="shared" si="13"/>
        <v>0</v>
      </c>
      <c r="O190" s="6" t="s">
        <v>69</v>
      </c>
      <c r="P190" s="6" t="s">
        <v>69</v>
      </c>
      <c r="Q190" s="55" t="str">
        <f t="shared" si="12"/>
        <v>GREEN</v>
      </c>
    </row>
    <row r="191" spans="1:17" s="27" customFormat="1" ht="25.2" x14ac:dyDescent="0.3">
      <c r="A191" s="71"/>
      <c r="B191" s="31">
        <v>181</v>
      </c>
      <c r="C191" s="1" t="s">
        <v>188</v>
      </c>
      <c r="D191" s="1" t="s">
        <v>206</v>
      </c>
      <c r="E191" s="1">
        <v>135008078</v>
      </c>
      <c r="F191" s="1">
        <v>2260</v>
      </c>
      <c r="G191" s="1">
        <v>2</v>
      </c>
      <c r="H191" s="53">
        <v>18</v>
      </c>
      <c r="I191" s="53">
        <v>12</v>
      </c>
      <c r="J191" s="53">
        <v>6</v>
      </c>
      <c r="K191" s="53">
        <v>0</v>
      </c>
      <c r="L191" s="53">
        <f t="shared" si="10"/>
        <v>6</v>
      </c>
      <c r="M191" s="53">
        <f t="shared" si="11"/>
        <v>100</v>
      </c>
      <c r="N191" s="6">
        <f t="shared" si="13"/>
        <v>13560</v>
      </c>
      <c r="O191" s="6" t="s">
        <v>69</v>
      </c>
      <c r="P191" s="6" t="s">
        <v>69</v>
      </c>
      <c r="Q191" s="55" t="str">
        <f t="shared" si="12"/>
        <v>GREEN</v>
      </c>
    </row>
    <row r="192" spans="1:17" s="27" customFormat="1" ht="25.2" x14ac:dyDescent="0.3">
      <c r="A192" s="71"/>
      <c r="B192" s="31">
        <v>182</v>
      </c>
      <c r="C192" s="1" t="s">
        <v>189</v>
      </c>
      <c r="D192" s="1" t="s">
        <v>207</v>
      </c>
      <c r="E192" s="1">
        <v>135008079</v>
      </c>
      <c r="F192" s="1">
        <v>1600</v>
      </c>
      <c r="G192" s="1">
        <v>2</v>
      </c>
      <c r="H192" s="53">
        <v>18</v>
      </c>
      <c r="I192" s="53">
        <v>12</v>
      </c>
      <c r="J192" s="53">
        <v>6</v>
      </c>
      <c r="K192" s="53">
        <v>0</v>
      </c>
      <c r="L192" s="53">
        <f t="shared" si="10"/>
        <v>6</v>
      </c>
      <c r="M192" s="53">
        <f t="shared" si="11"/>
        <v>100</v>
      </c>
      <c r="N192" s="6">
        <f t="shared" si="13"/>
        <v>9600</v>
      </c>
      <c r="O192" s="6" t="s">
        <v>69</v>
      </c>
      <c r="P192" s="6" t="s">
        <v>69</v>
      </c>
      <c r="Q192" s="55" t="str">
        <f t="shared" si="12"/>
        <v>GREEN</v>
      </c>
    </row>
    <row r="193" spans="1:17" s="27" customFormat="1" ht="25.2" x14ac:dyDescent="0.3">
      <c r="A193" s="71"/>
      <c r="B193" s="31">
        <v>183</v>
      </c>
      <c r="C193" s="40" t="s">
        <v>190</v>
      </c>
      <c r="D193" s="1" t="s">
        <v>208</v>
      </c>
      <c r="E193" s="1">
        <v>135008076</v>
      </c>
      <c r="F193" s="1">
        <v>2600</v>
      </c>
      <c r="G193" s="1">
        <v>2</v>
      </c>
      <c r="H193" s="53">
        <v>18</v>
      </c>
      <c r="I193" s="53">
        <v>12</v>
      </c>
      <c r="J193" s="53">
        <v>6</v>
      </c>
      <c r="K193" s="53">
        <v>0</v>
      </c>
      <c r="L193" s="53">
        <f t="shared" si="10"/>
        <v>6</v>
      </c>
      <c r="M193" s="53">
        <f t="shared" si="11"/>
        <v>100</v>
      </c>
      <c r="N193" s="6">
        <f t="shared" si="13"/>
        <v>15600</v>
      </c>
      <c r="O193" s="6" t="s">
        <v>69</v>
      </c>
      <c r="P193" s="6" t="s">
        <v>69</v>
      </c>
      <c r="Q193" s="55" t="str">
        <f t="shared" si="12"/>
        <v>GREEN</v>
      </c>
    </row>
    <row r="194" spans="1:17" s="27" customFormat="1" ht="12.6" x14ac:dyDescent="0.3">
      <c r="A194" s="71"/>
      <c r="B194" s="31">
        <v>184</v>
      </c>
      <c r="C194" s="40" t="s">
        <v>191</v>
      </c>
      <c r="D194" s="1" t="s">
        <v>69</v>
      </c>
      <c r="E194" s="1" t="s">
        <v>174</v>
      </c>
      <c r="F194" s="1">
        <v>0</v>
      </c>
      <c r="G194" s="1">
        <v>2</v>
      </c>
      <c r="H194" s="53">
        <v>18</v>
      </c>
      <c r="I194" s="53">
        <v>12</v>
      </c>
      <c r="J194" s="53">
        <v>6</v>
      </c>
      <c r="K194" s="53">
        <v>0</v>
      </c>
      <c r="L194" s="53">
        <f t="shared" si="10"/>
        <v>6</v>
      </c>
      <c r="M194" s="53">
        <f t="shared" si="11"/>
        <v>100</v>
      </c>
      <c r="N194" s="6">
        <f t="shared" si="13"/>
        <v>0</v>
      </c>
      <c r="O194" s="6" t="s">
        <v>69</v>
      </c>
      <c r="P194" s="6" t="s">
        <v>69</v>
      </c>
      <c r="Q194" s="55" t="str">
        <f t="shared" si="12"/>
        <v>GREEN</v>
      </c>
    </row>
    <row r="195" spans="1:17" s="27" customFormat="1" ht="12.6" x14ac:dyDescent="0.3">
      <c r="A195" s="71"/>
      <c r="B195" s="31">
        <v>185</v>
      </c>
      <c r="C195" s="40" t="s">
        <v>192</v>
      </c>
      <c r="D195" s="1" t="s">
        <v>69</v>
      </c>
      <c r="E195" s="1" t="s">
        <v>174</v>
      </c>
      <c r="F195" s="1">
        <v>0</v>
      </c>
      <c r="G195" s="1">
        <v>2</v>
      </c>
      <c r="H195" s="53">
        <v>18</v>
      </c>
      <c r="I195" s="53">
        <v>12</v>
      </c>
      <c r="J195" s="53">
        <v>6</v>
      </c>
      <c r="K195" s="53">
        <v>0</v>
      </c>
      <c r="L195" s="53">
        <f t="shared" si="10"/>
        <v>6</v>
      </c>
      <c r="M195" s="53">
        <f t="shared" si="11"/>
        <v>100</v>
      </c>
      <c r="N195" s="6">
        <f t="shared" si="13"/>
        <v>0</v>
      </c>
      <c r="O195" s="6" t="s">
        <v>69</v>
      </c>
      <c r="P195" s="6" t="s">
        <v>69</v>
      </c>
      <c r="Q195" s="55" t="str">
        <f t="shared" si="12"/>
        <v>GREEN</v>
      </c>
    </row>
    <row r="196" spans="1:17" s="27" customFormat="1" ht="25.2" x14ac:dyDescent="0.3">
      <c r="A196" s="71"/>
      <c r="B196" s="31">
        <v>186</v>
      </c>
      <c r="C196" s="40" t="s">
        <v>193</v>
      </c>
      <c r="D196" s="1" t="s">
        <v>209</v>
      </c>
      <c r="E196" s="1">
        <v>135008080</v>
      </c>
      <c r="F196" s="1">
        <v>1290</v>
      </c>
      <c r="G196" s="1">
        <v>4</v>
      </c>
      <c r="H196" s="53">
        <v>36</v>
      </c>
      <c r="I196" s="53">
        <v>24</v>
      </c>
      <c r="J196" s="53">
        <v>12</v>
      </c>
      <c r="K196" s="53">
        <v>0</v>
      </c>
      <c r="L196" s="53">
        <f t="shared" si="10"/>
        <v>12</v>
      </c>
      <c r="M196" s="53">
        <f t="shared" si="11"/>
        <v>100</v>
      </c>
      <c r="N196" s="6">
        <f t="shared" si="13"/>
        <v>15480</v>
      </c>
      <c r="O196" s="6" t="s">
        <v>69</v>
      </c>
      <c r="P196" s="6" t="s">
        <v>69</v>
      </c>
      <c r="Q196" s="55" t="str">
        <f t="shared" si="12"/>
        <v>GREEN</v>
      </c>
    </row>
    <row r="197" spans="1:17" s="56" customFormat="1" ht="15.6" x14ac:dyDescent="0.3">
      <c r="A197" s="58" t="s">
        <v>271</v>
      </c>
      <c r="B197" s="59" t="s">
        <v>271</v>
      </c>
      <c r="C197" s="59" t="s">
        <v>271</v>
      </c>
      <c r="D197" s="59" t="s">
        <v>271</v>
      </c>
      <c r="E197" s="59" t="s">
        <v>271</v>
      </c>
      <c r="F197" s="59" t="s">
        <v>271</v>
      </c>
      <c r="G197" s="59" t="s">
        <v>271</v>
      </c>
      <c r="H197" s="59" t="s">
        <v>271</v>
      </c>
      <c r="I197" s="59" t="s">
        <v>271</v>
      </c>
      <c r="J197" s="59" t="s">
        <v>271</v>
      </c>
      <c r="K197" s="59" t="s">
        <v>271</v>
      </c>
      <c r="L197" s="59" t="s">
        <v>271</v>
      </c>
      <c r="M197" s="59" t="s">
        <v>271</v>
      </c>
      <c r="N197" s="59" t="s">
        <v>271</v>
      </c>
      <c r="O197" s="59" t="s">
        <v>271</v>
      </c>
      <c r="P197" s="59" t="s">
        <v>271</v>
      </c>
      <c r="Q197" s="59" t="s">
        <v>271</v>
      </c>
    </row>
    <row r="198" spans="1:17" s="27" customFormat="1" ht="25.2" x14ac:dyDescent="0.3">
      <c r="A198" s="71" t="s">
        <v>210</v>
      </c>
      <c r="B198" s="31">
        <v>188</v>
      </c>
      <c r="C198" s="1" t="s">
        <v>211</v>
      </c>
      <c r="D198" s="1">
        <v>10374811</v>
      </c>
      <c r="E198" s="1">
        <v>112500402</v>
      </c>
      <c r="F198" s="1">
        <v>0</v>
      </c>
      <c r="G198" s="1">
        <v>1</v>
      </c>
      <c r="H198" s="53">
        <v>6</v>
      </c>
      <c r="I198" s="53">
        <v>4</v>
      </c>
      <c r="J198" s="53">
        <v>2</v>
      </c>
      <c r="K198" s="53">
        <v>0</v>
      </c>
      <c r="L198" s="53">
        <f t="shared" si="10"/>
        <v>2</v>
      </c>
      <c r="M198" s="53">
        <f t="shared" si="11"/>
        <v>100</v>
      </c>
      <c r="N198" s="6">
        <f t="shared" ref="N198:N222" si="14">L198*F198</f>
        <v>0</v>
      </c>
      <c r="O198" s="1">
        <v>1</v>
      </c>
      <c r="P198" s="1" t="s">
        <v>231</v>
      </c>
      <c r="Q198" s="55" t="str">
        <f t="shared" si="12"/>
        <v>GREEN</v>
      </c>
    </row>
    <row r="199" spans="1:17" s="27" customFormat="1" ht="25.2" x14ac:dyDescent="0.3">
      <c r="A199" s="71"/>
      <c r="B199" s="31">
        <v>189</v>
      </c>
      <c r="C199" s="1" t="s">
        <v>212</v>
      </c>
      <c r="D199" s="1" t="s">
        <v>233</v>
      </c>
      <c r="E199" s="1">
        <v>112500401</v>
      </c>
      <c r="F199" s="1">
        <v>17000</v>
      </c>
      <c r="G199" s="1">
        <v>2</v>
      </c>
      <c r="H199" s="53">
        <v>12</v>
      </c>
      <c r="I199" s="53">
        <v>8</v>
      </c>
      <c r="J199" s="53">
        <v>4</v>
      </c>
      <c r="K199" s="53">
        <v>0</v>
      </c>
      <c r="L199" s="53">
        <f t="shared" si="10"/>
        <v>4</v>
      </c>
      <c r="M199" s="53">
        <f t="shared" si="11"/>
        <v>100</v>
      </c>
      <c r="N199" s="6">
        <f t="shared" si="14"/>
        <v>68000</v>
      </c>
      <c r="O199" s="1">
        <v>1</v>
      </c>
      <c r="P199" s="1" t="s">
        <v>232</v>
      </c>
      <c r="Q199" s="55" t="str">
        <f t="shared" si="12"/>
        <v>GREEN</v>
      </c>
    </row>
    <row r="200" spans="1:17" s="27" customFormat="1" ht="25.2" x14ac:dyDescent="0.3">
      <c r="A200" s="71"/>
      <c r="B200" s="31">
        <v>190</v>
      </c>
      <c r="C200" s="1" t="s">
        <v>213</v>
      </c>
      <c r="D200" s="1">
        <v>10374817</v>
      </c>
      <c r="E200" s="1">
        <v>112500403</v>
      </c>
      <c r="F200" s="1">
        <v>89000</v>
      </c>
      <c r="G200" s="1">
        <v>1</v>
      </c>
      <c r="H200" s="53">
        <v>6</v>
      </c>
      <c r="I200" s="53">
        <v>4</v>
      </c>
      <c r="J200" s="53">
        <v>2</v>
      </c>
      <c r="K200" s="53">
        <v>0</v>
      </c>
      <c r="L200" s="53">
        <f t="shared" si="10"/>
        <v>2</v>
      </c>
      <c r="M200" s="53">
        <f t="shared" si="11"/>
        <v>100</v>
      </c>
      <c r="N200" s="6">
        <f t="shared" si="14"/>
        <v>178000</v>
      </c>
      <c r="O200" s="1">
        <v>2</v>
      </c>
      <c r="P200" s="1" t="s">
        <v>231</v>
      </c>
      <c r="Q200" s="55" t="str">
        <f t="shared" si="12"/>
        <v>GREEN</v>
      </c>
    </row>
    <row r="201" spans="1:17" s="27" customFormat="1" ht="25.2" x14ac:dyDescent="0.3">
      <c r="A201" s="71"/>
      <c r="B201" s="31">
        <v>191</v>
      </c>
      <c r="C201" s="1" t="s">
        <v>214</v>
      </c>
      <c r="D201" s="1">
        <v>10374818</v>
      </c>
      <c r="E201" s="1">
        <v>112500404</v>
      </c>
      <c r="F201" s="1">
        <v>89000</v>
      </c>
      <c r="G201" s="1">
        <v>1</v>
      </c>
      <c r="H201" s="53">
        <v>6</v>
      </c>
      <c r="I201" s="53">
        <v>4</v>
      </c>
      <c r="J201" s="53">
        <v>2</v>
      </c>
      <c r="K201" s="53">
        <v>0</v>
      </c>
      <c r="L201" s="53">
        <f t="shared" si="10"/>
        <v>2</v>
      </c>
      <c r="M201" s="53">
        <f t="shared" si="11"/>
        <v>100</v>
      </c>
      <c r="N201" s="6">
        <f t="shared" si="14"/>
        <v>178000</v>
      </c>
      <c r="O201" s="1">
        <v>3</v>
      </c>
      <c r="P201" s="1" t="s">
        <v>231</v>
      </c>
      <c r="Q201" s="55" t="str">
        <f t="shared" si="12"/>
        <v>GREEN</v>
      </c>
    </row>
    <row r="202" spans="1:17" s="27" customFormat="1" ht="25.2" x14ac:dyDescent="0.3">
      <c r="A202" s="71"/>
      <c r="B202" s="31">
        <v>192</v>
      </c>
      <c r="C202" s="1" t="s">
        <v>215</v>
      </c>
      <c r="D202" s="1" t="s">
        <v>234</v>
      </c>
      <c r="E202" s="1">
        <v>112500405</v>
      </c>
      <c r="F202" s="1">
        <v>17000</v>
      </c>
      <c r="G202" s="1">
        <v>2</v>
      </c>
      <c r="H202" s="53">
        <v>12</v>
      </c>
      <c r="I202" s="53">
        <v>8</v>
      </c>
      <c r="J202" s="53">
        <v>4</v>
      </c>
      <c r="K202" s="53">
        <v>0</v>
      </c>
      <c r="L202" s="53">
        <f t="shared" si="10"/>
        <v>4</v>
      </c>
      <c r="M202" s="53">
        <f t="shared" si="11"/>
        <v>100</v>
      </c>
      <c r="N202" s="6">
        <f t="shared" si="14"/>
        <v>68000</v>
      </c>
      <c r="O202" s="1">
        <v>3</v>
      </c>
      <c r="P202" s="1" t="s">
        <v>232</v>
      </c>
      <c r="Q202" s="55" t="str">
        <f t="shared" si="12"/>
        <v>GREEN</v>
      </c>
    </row>
    <row r="203" spans="1:17" s="27" customFormat="1" ht="25.2" x14ac:dyDescent="0.3">
      <c r="A203" s="71"/>
      <c r="B203" s="31">
        <v>193</v>
      </c>
      <c r="C203" s="1" t="s">
        <v>216</v>
      </c>
      <c r="D203" s="1" t="s">
        <v>235</v>
      </c>
      <c r="E203" s="1">
        <v>112500406</v>
      </c>
      <c r="F203" s="1">
        <v>12400</v>
      </c>
      <c r="G203" s="1">
        <v>2</v>
      </c>
      <c r="H203" s="53">
        <v>12</v>
      </c>
      <c r="I203" s="53">
        <v>8</v>
      </c>
      <c r="J203" s="53">
        <v>4</v>
      </c>
      <c r="K203" s="53">
        <v>0</v>
      </c>
      <c r="L203" s="53">
        <f t="shared" ref="L203:L233" si="15">J203-K203</f>
        <v>4</v>
      </c>
      <c r="M203" s="53">
        <f t="shared" ref="M203:M233" si="16">L203/J203*100</f>
        <v>100</v>
      </c>
      <c r="N203" s="6">
        <f t="shared" si="14"/>
        <v>49600</v>
      </c>
      <c r="O203" s="1">
        <v>4</v>
      </c>
      <c r="P203" s="1" t="s">
        <v>231</v>
      </c>
      <c r="Q203" s="55" t="str">
        <f t="shared" ref="Q203:Q233" si="17">IF(AND(I203+L203&gt;=0.75*H203),"GREEN",IF(AND(I203+L203&gt;0.5*H203,I203+L203&lt;0.75*H203),"YELLOW",IF(AND(I203+L203&lt;=0.5*H203),"RED","INVALID")))</f>
        <v>GREEN</v>
      </c>
    </row>
    <row r="204" spans="1:17" s="27" customFormat="1" ht="25.2" x14ac:dyDescent="0.3">
      <c r="A204" s="71"/>
      <c r="B204" s="31">
        <v>194</v>
      </c>
      <c r="C204" s="1" t="s">
        <v>217</v>
      </c>
      <c r="D204" s="1">
        <v>10380084</v>
      </c>
      <c r="E204" s="1">
        <v>112500407</v>
      </c>
      <c r="F204" s="1">
        <v>10400</v>
      </c>
      <c r="G204" s="1">
        <v>2</v>
      </c>
      <c r="H204" s="53">
        <v>12</v>
      </c>
      <c r="I204" s="53">
        <v>8</v>
      </c>
      <c r="J204" s="53">
        <v>4</v>
      </c>
      <c r="K204" s="53">
        <v>0</v>
      </c>
      <c r="L204" s="53">
        <f t="shared" si="15"/>
        <v>4</v>
      </c>
      <c r="M204" s="53">
        <f t="shared" si="16"/>
        <v>100</v>
      </c>
      <c r="N204" s="6">
        <f t="shared" si="14"/>
        <v>41600</v>
      </c>
      <c r="O204" s="1">
        <v>5</v>
      </c>
      <c r="P204" s="1" t="s">
        <v>232</v>
      </c>
      <c r="Q204" s="55" t="str">
        <f t="shared" si="17"/>
        <v>GREEN</v>
      </c>
    </row>
    <row r="205" spans="1:17" s="27" customFormat="1" ht="25.2" x14ac:dyDescent="0.3">
      <c r="A205" s="71"/>
      <c r="B205" s="31">
        <v>195</v>
      </c>
      <c r="C205" s="1" t="s">
        <v>218</v>
      </c>
      <c r="D205" s="1" t="s">
        <v>236</v>
      </c>
      <c r="E205" s="1">
        <v>112500408</v>
      </c>
      <c r="F205" s="1">
        <v>8800</v>
      </c>
      <c r="G205" s="1">
        <v>2</v>
      </c>
      <c r="H205" s="53">
        <v>12</v>
      </c>
      <c r="I205" s="53">
        <v>8</v>
      </c>
      <c r="J205" s="53">
        <v>4</v>
      </c>
      <c r="K205" s="53">
        <v>0</v>
      </c>
      <c r="L205" s="53">
        <f t="shared" si="15"/>
        <v>4</v>
      </c>
      <c r="M205" s="53">
        <f t="shared" si="16"/>
        <v>100</v>
      </c>
      <c r="N205" s="6">
        <f t="shared" si="14"/>
        <v>35200</v>
      </c>
      <c r="O205" s="1">
        <v>6</v>
      </c>
      <c r="P205" s="1" t="s">
        <v>231</v>
      </c>
      <c r="Q205" s="55" t="str">
        <f t="shared" si="17"/>
        <v>GREEN</v>
      </c>
    </row>
    <row r="206" spans="1:17" s="27" customFormat="1" ht="25.2" x14ac:dyDescent="0.3">
      <c r="A206" s="71"/>
      <c r="B206" s="31">
        <v>196</v>
      </c>
      <c r="C206" s="1" t="s">
        <v>219</v>
      </c>
      <c r="D206" s="1">
        <v>10380085</v>
      </c>
      <c r="E206" s="1">
        <v>112500409</v>
      </c>
      <c r="F206" s="1">
        <v>14800</v>
      </c>
      <c r="G206" s="1">
        <v>2</v>
      </c>
      <c r="H206" s="53">
        <v>12</v>
      </c>
      <c r="I206" s="53">
        <v>4</v>
      </c>
      <c r="J206" s="53">
        <v>4</v>
      </c>
      <c r="K206" s="53">
        <v>2</v>
      </c>
      <c r="L206" s="53">
        <f t="shared" si="15"/>
        <v>2</v>
      </c>
      <c r="M206" s="53">
        <f t="shared" si="16"/>
        <v>50</v>
      </c>
      <c r="N206" s="6">
        <f t="shared" si="14"/>
        <v>29600</v>
      </c>
      <c r="O206" s="1">
        <v>7</v>
      </c>
      <c r="P206" s="1" t="s">
        <v>232</v>
      </c>
      <c r="Q206" s="55" t="str">
        <f t="shared" si="17"/>
        <v>RED</v>
      </c>
    </row>
    <row r="207" spans="1:17" s="27" customFormat="1" ht="25.2" x14ac:dyDescent="0.3">
      <c r="A207" s="71"/>
      <c r="B207" s="31">
        <v>197</v>
      </c>
      <c r="C207" s="1" t="s">
        <v>220</v>
      </c>
      <c r="D207" s="1" t="s">
        <v>237</v>
      </c>
      <c r="E207" s="1">
        <v>112500410</v>
      </c>
      <c r="F207" s="1">
        <v>8800</v>
      </c>
      <c r="G207" s="1">
        <v>2</v>
      </c>
      <c r="H207" s="53">
        <v>12</v>
      </c>
      <c r="I207" s="53">
        <v>8</v>
      </c>
      <c r="J207" s="53">
        <v>4</v>
      </c>
      <c r="K207" s="53">
        <v>0</v>
      </c>
      <c r="L207" s="53">
        <f t="shared" si="15"/>
        <v>4</v>
      </c>
      <c r="M207" s="53">
        <f t="shared" si="16"/>
        <v>100</v>
      </c>
      <c r="N207" s="6">
        <f t="shared" si="14"/>
        <v>35200</v>
      </c>
      <c r="O207" s="1">
        <v>8</v>
      </c>
      <c r="P207" s="1" t="s">
        <v>231</v>
      </c>
      <c r="Q207" s="55" t="str">
        <f t="shared" si="17"/>
        <v>GREEN</v>
      </c>
    </row>
    <row r="208" spans="1:17" s="27" customFormat="1" ht="25.2" x14ac:dyDescent="0.3">
      <c r="A208" s="71"/>
      <c r="B208" s="31">
        <v>198</v>
      </c>
      <c r="C208" s="1" t="s">
        <v>221</v>
      </c>
      <c r="D208" s="1" t="s">
        <v>238</v>
      </c>
      <c r="E208" s="1">
        <v>112508015</v>
      </c>
      <c r="F208" s="1">
        <v>0</v>
      </c>
      <c r="G208" s="1">
        <v>2</v>
      </c>
      <c r="H208" s="53">
        <v>12</v>
      </c>
      <c r="I208" s="53">
        <v>8</v>
      </c>
      <c r="J208" s="53">
        <v>4</v>
      </c>
      <c r="K208" s="53">
        <v>0</v>
      </c>
      <c r="L208" s="53">
        <f t="shared" si="15"/>
        <v>4</v>
      </c>
      <c r="M208" s="53">
        <f t="shared" si="16"/>
        <v>100</v>
      </c>
      <c r="N208" s="6">
        <f t="shared" si="14"/>
        <v>0</v>
      </c>
      <c r="O208" s="1">
        <v>9</v>
      </c>
      <c r="P208" s="1" t="s">
        <v>232</v>
      </c>
      <c r="Q208" s="55" t="str">
        <f t="shared" si="17"/>
        <v>GREEN</v>
      </c>
    </row>
    <row r="209" spans="1:17" s="27" customFormat="1" ht="25.2" x14ac:dyDescent="0.3">
      <c r="A209" s="71"/>
      <c r="B209" s="31">
        <v>199</v>
      </c>
      <c r="C209" s="1" t="s">
        <v>222</v>
      </c>
      <c r="D209" s="1" t="s">
        <v>239</v>
      </c>
      <c r="E209" s="1">
        <v>112508016</v>
      </c>
      <c r="F209" s="1">
        <v>6984</v>
      </c>
      <c r="G209" s="1">
        <v>2</v>
      </c>
      <c r="H209" s="53">
        <v>12</v>
      </c>
      <c r="I209" s="53">
        <v>8</v>
      </c>
      <c r="J209" s="53">
        <v>4</v>
      </c>
      <c r="K209" s="53">
        <v>0</v>
      </c>
      <c r="L209" s="53">
        <f t="shared" si="15"/>
        <v>4</v>
      </c>
      <c r="M209" s="53">
        <f t="shared" si="16"/>
        <v>100</v>
      </c>
      <c r="N209" s="6">
        <f t="shared" si="14"/>
        <v>27936</v>
      </c>
      <c r="O209" s="1">
        <v>10</v>
      </c>
      <c r="P209" s="1" t="s">
        <v>231</v>
      </c>
      <c r="Q209" s="55" t="str">
        <f t="shared" si="17"/>
        <v>GREEN</v>
      </c>
    </row>
    <row r="210" spans="1:17" s="27" customFormat="1" ht="25.2" x14ac:dyDescent="0.3">
      <c r="A210" s="71"/>
      <c r="B210" s="31">
        <v>200</v>
      </c>
      <c r="C210" s="1" t="s">
        <v>223</v>
      </c>
      <c r="D210" s="1" t="s">
        <v>240</v>
      </c>
      <c r="E210" s="1">
        <v>112508017</v>
      </c>
      <c r="F210" s="1">
        <v>7663</v>
      </c>
      <c r="G210" s="1">
        <v>2</v>
      </c>
      <c r="H210" s="53">
        <v>12</v>
      </c>
      <c r="I210" s="53">
        <v>8</v>
      </c>
      <c r="J210" s="53">
        <v>4</v>
      </c>
      <c r="K210" s="53">
        <v>0</v>
      </c>
      <c r="L210" s="53">
        <f t="shared" si="15"/>
        <v>4</v>
      </c>
      <c r="M210" s="53">
        <f t="shared" si="16"/>
        <v>100</v>
      </c>
      <c r="N210" s="6">
        <f t="shared" si="14"/>
        <v>30652</v>
      </c>
      <c r="O210" s="1">
        <v>11</v>
      </c>
      <c r="P210" s="1" t="s">
        <v>232</v>
      </c>
      <c r="Q210" s="55" t="str">
        <f t="shared" si="17"/>
        <v>GREEN</v>
      </c>
    </row>
    <row r="211" spans="1:17" s="27" customFormat="1" ht="25.2" x14ac:dyDescent="0.3">
      <c r="A211" s="71"/>
      <c r="B211" s="31">
        <v>201</v>
      </c>
      <c r="C211" s="1" t="s">
        <v>224</v>
      </c>
      <c r="D211" s="1" t="s">
        <v>241</v>
      </c>
      <c r="E211" s="1">
        <v>112052048</v>
      </c>
      <c r="F211" s="1">
        <v>5488</v>
      </c>
      <c r="G211" s="1">
        <v>2</v>
      </c>
      <c r="H211" s="53">
        <v>12</v>
      </c>
      <c r="I211" s="53">
        <v>8</v>
      </c>
      <c r="J211" s="53">
        <v>4</v>
      </c>
      <c r="K211" s="53">
        <v>0</v>
      </c>
      <c r="L211" s="53">
        <f t="shared" si="15"/>
        <v>4</v>
      </c>
      <c r="M211" s="53">
        <f t="shared" si="16"/>
        <v>100</v>
      </c>
      <c r="N211" s="6">
        <f t="shared" si="14"/>
        <v>21952</v>
      </c>
      <c r="O211" s="1">
        <v>12</v>
      </c>
      <c r="P211" s="1" t="s">
        <v>231</v>
      </c>
      <c r="Q211" s="55" t="str">
        <f t="shared" si="17"/>
        <v>GREEN</v>
      </c>
    </row>
    <row r="212" spans="1:17" s="27" customFormat="1" ht="25.2" x14ac:dyDescent="0.3">
      <c r="A212" s="71"/>
      <c r="B212" s="31">
        <v>202</v>
      </c>
      <c r="C212" s="1" t="s">
        <v>225</v>
      </c>
      <c r="D212" s="1" t="s">
        <v>242</v>
      </c>
      <c r="E212" s="1">
        <v>112052049</v>
      </c>
      <c r="F212" s="1">
        <v>4561</v>
      </c>
      <c r="G212" s="1">
        <v>2</v>
      </c>
      <c r="H212" s="53">
        <v>12</v>
      </c>
      <c r="I212" s="53">
        <v>8</v>
      </c>
      <c r="J212" s="53">
        <v>4</v>
      </c>
      <c r="K212" s="53">
        <v>0</v>
      </c>
      <c r="L212" s="53">
        <f t="shared" si="15"/>
        <v>4</v>
      </c>
      <c r="M212" s="53">
        <f t="shared" si="16"/>
        <v>100</v>
      </c>
      <c r="N212" s="6">
        <f t="shared" si="14"/>
        <v>18244</v>
      </c>
      <c r="O212" s="1">
        <v>13</v>
      </c>
      <c r="P212" s="1" t="s">
        <v>232</v>
      </c>
      <c r="Q212" s="55" t="str">
        <f t="shared" si="17"/>
        <v>GREEN</v>
      </c>
    </row>
    <row r="213" spans="1:17" s="27" customFormat="1" ht="25.2" x14ac:dyDescent="0.3">
      <c r="A213" s="71"/>
      <c r="B213" s="31">
        <v>203</v>
      </c>
      <c r="C213" s="1" t="s">
        <v>226</v>
      </c>
      <c r="D213" s="1" t="s">
        <v>243</v>
      </c>
      <c r="E213" s="1">
        <v>112052050</v>
      </c>
      <c r="F213" s="1">
        <v>6984</v>
      </c>
      <c r="G213" s="1">
        <v>2</v>
      </c>
      <c r="H213" s="53">
        <v>12</v>
      </c>
      <c r="I213" s="53">
        <v>8</v>
      </c>
      <c r="J213" s="53">
        <v>4</v>
      </c>
      <c r="K213" s="53">
        <v>0</v>
      </c>
      <c r="L213" s="53">
        <f t="shared" si="15"/>
        <v>4</v>
      </c>
      <c r="M213" s="53">
        <f t="shared" si="16"/>
        <v>100</v>
      </c>
      <c r="N213" s="6">
        <f t="shared" si="14"/>
        <v>27936</v>
      </c>
      <c r="O213" s="1">
        <v>14</v>
      </c>
      <c r="P213" s="1" t="s">
        <v>231</v>
      </c>
      <c r="Q213" s="55" t="str">
        <f t="shared" si="17"/>
        <v>GREEN</v>
      </c>
    </row>
    <row r="214" spans="1:17" s="27" customFormat="1" ht="25.2" x14ac:dyDescent="0.3">
      <c r="A214" s="71"/>
      <c r="B214" s="31">
        <v>204</v>
      </c>
      <c r="C214" s="1" t="s">
        <v>227</v>
      </c>
      <c r="D214" s="1" t="s">
        <v>244</v>
      </c>
      <c r="E214" s="1">
        <v>112052051</v>
      </c>
      <c r="F214" s="1">
        <v>6596</v>
      </c>
      <c r="G214" s="1">
        <v>2</v>
      </c>
      <c r="H214" s="53">
        <v>12</v>
      </c>
      <c r="I214" s="53">
        <v>8</v>
      </c>
      <c r="J214" s="53">
        <v>4</v>
      </c>
      <c r="K214" s="53">
        <v>0</v>
      </c>
      <c r="L214" s="53">
        <f t="shared" si="15"/>
        <v>4</v>
      </c>
      <c r="M214" s="53">
        <f t="shared" si="16"/>
        <v>100</v>
      </c>
      <c r="N214" s="6">
        <f t="shared" si="14"/>
        <v>26384</v>
      </c>
      <c r="O214" s="1">
        <v>15</v>
      </c>
      <c r="P214" s="1" t="s">
        <v>232</v>
      </c>
      <c r="Q214" s="55" t="str">
        <f t="shared" si="17"/>
        <v>GREEN</v>
      </c>
    </row>
    <row r="215" spans="1:17" s="27" customFormat="1" ht="25.2" x14ac:dyDescent="0.3">
      <c r="A215" s="71"/>
      <c r="B215" s="31">
        <v>205</v>
      </c>
      <c r="C215" s="1" t="s">
        <v>228</v>
      </c>
      <c r="D215" s="1">
        <v>10376342</v>
      </c>
      <c r="E215" s="1">
        <v>112508018</v>
      </c>
      <c r="F215" s="1">
        <v>28615</v>
      </c>
      <c r="G215" s="1">
        <v>1</v>
      </c>
      <c r="H215" s="53">
        <v>6</v>
      </c>
      <c r="I215" s="53">
        <v>4</v>
      </c>
      <c r="J215" s="53">
        <v>2</v>
      </c>
      <c r="K215" s="53">
        <v>0</v>
      </c>
      <c r="L215" s="53">
        <f t="shared" si="15"/>
        <v>2</v>
      </c>
      <c r="M215" s="53">
        <f t="shared" si="16"/>
        <v>100</v>
      </c>
      <c r="N215" s="6">
        <f t="shared" si="14"/>
        <v>57230</v>
      </c>
      <c r="O215" s="1" t="s">
        <v>246</v>
      </c>
      <c r="P215" s="1" t="s">
        <v>232</v>
      </c>
      <c r="Q215" s="55" t="str">
        <f t="shared" si="17"/>
        <v>GREEN</v>
      </c>
    </row>
    <row r="216" spans="1:17" s="27" customFormat="1" ht="25.2" x14ac:dyDescent="0.3">
      <c r="A216" s="71"/>
      <c r="B216" s="31">
        <v>206</v>
      </c>
      <c r="C216" s="1" t="s">
        <v>229</v>
      </c>
      <c r="D216" s="1">
        <v>10374806</v>
      </c>
      <c r="E216" s="1">
        <v>112508024</v>
      </c>
      <c r="F216" s="1">
        <v>25000</v>
      </c>
      <c r="G216" s="1">
        <v>1</v>
      </c>
      <c r="H216" s="53">
        <v>9</v>
      </c>
      <c r="I216" s="53">
        <v>6</v>
      </c>
      <c r="J216" s="53">
        <v>3</v>
      </c>
      <c r="K216" s="53">
        <v>0</v>
      </c>
      <c r="L216" s="53">
        <f t="shared" si="15"/>
        <v>3</v>
      </c>
      <c r="M216" s="53">
        <f t="shared" si="16"/>
        <v>100</v>
      </c>
      <c r="N216" s="6">
        <f t="shared" si="14"/>
        <v>75000</v>
      </c>
      <c r="O216" s="1" t="s">
        <v>247</v>
      </c>
      <c r="P216" s="1" t="s">
        <v>231</v>
      </c>
      <c r="Q216" s="55" t="str">
        <f t="shared" si="17"/>
        <v>GREEN</v>
      </c>
    </row>
    <row r="217" spans="1:17" s="27" customFormat="1" ht="25.2" x14ac:dyDescent="0.3">
      <c r="A217" s="71"/>
      <c r="B217" s="31">
        <v>207</v>
      </c>
      <c r="C217" s="1" t="s">
        <v>229</v>
      </c>
      <c r="D217" s="1">
        <v>10374805</v>
      </c>
      <c r="E217" s="1">
        <v>112508019</v>
      </c>
      <c r="F217" s="1">
        <v>109998</v>
      </c>
      <c r="G217" s="1">
        <v>2</v>
      </c>
      <c r="H217" s="53">
        <v>6</v>
      </c>
      <c r="I217" s="53">
        <v>4</v>
      </c>
      <c r="J217" s="53">
        <v>2</v>
      </c>
      <c r="K217" s="53">
        <v>0</v>
      </c>
      <c r="L217" s="53">
        <f t="shared" si="15"/>
        <v>2</v>
      </c>
      <c r="M217" s="53">
        <f t="shared" si="16"/>
        <v>100</v>
      </c>
      <c r="N217" s="6">
        <f t="shared" si="14"/>
        <v>219996</v>
      </c>
      <c r="O217" s="1" t="s">
        <v>248</v>
      </c>
      <c r="P217" s="1" t="s">
        <v>232</v>
      </c>
      <c r="Q217" s="55" t="str">
        <f t="shared" si="17"/>
        <v>GREEN</v>
      </c>
    </row>
    <row r="218" spans="1:17" s="27" customFormat="1" ht="25.2" x14ac:dyDescent="0.3">
      <c r="A218" s="71"/>
      <c r="B218" s="31">
        <v>208</v>
      </c>
      <c r="C218" s="1" t="s">
        <v>229</v>
      </c>
      <c r="D218" s="1">
        <v>10374813</v>
      </c>
      <c r="E218" s="1">
        <v>112500415</v>
      </c>
      <c r="F218" s="1">
        <v>41600</v>
      </c>
      <c r="G218" s="1">
        <v>1</v>
      </c>
      <c r="H218" s="53">
        <v>3</v>
      </c>
      <c r="I218" s="53">
        <v>2</v>
      </c>
      <c r="J218" s="53">
        <v>1</v>
      </c>
      <c r="K218" s="53">
        <v>0</v>
      </c>
      <c r="L218" s="53">
        <f t="shared" si="15"/>
        <v>1</v>
      </c>
      <c r="M218" s="53">
        <f t="shared" si="16"/>
        <v>100</v>
      </c>
      <c r="N218" s="6">
        <f t="shared" si="14"/>
        <v>41600</v>
      </c>
      <c r="O218" s="1">
        <v>3</v>
      </c>
      <c r="P218" s="1" t="s">
        <v>232</v>
      </c>
      <c r="Q218" s="55" t="str">
        <f t="shared" si="17"/>
        <v>GREEN</v>
      </c>
    </row>
    <row r="219" spans="1:17" s="27" customFormat="1" ht="25.2" x14ac:dyDescent="0.3">
      <c r="A219" s="71"/>
      <c r="B219" s="31">
        <v>209</v>
      </c>
      <c r="C219" s="1" t="s">
        <v>229</v>
      </c>
      <c r="D219" s="1">
        <v>10374797</v>
      </c>
      <c r="E219" s="1">
        <v>112500416</v>
      </c>
      <c r="F219" s="1">
        <v>83000</v>
      </c>
      <c r="G219" s="1">
        <v>1</v>
      </c>
      <c r="H219" s="53">
        <v>3</v>
      </c>
      <c r="I219" s="53">
        <v>2</v>
      </c>
      <c r="J219" s="53">
        <v>1</v>
      </c>
      <c r="K219" s="53">
        <v>0</v>
      </c>
      <c r="L219" s="53">
        <f t="shared" si="15"/>
        <v>1</v>
      </c>
      <c r="M219" s="53">
        <f t="shared" si="16"/>
        <v>100</v>
      </c>
      <c r="N219" s="6">
        <f t="shared" si="14"/>
        <v>83000</v>
      </c>
      <c r="O219" s="1">
        <v>4</v>
      </c>
      <c r="P219" s="1" t="s">
        <v>231</v>
      </c>
      <c r="Q219" s="55" t="str">
        <f t="shared" si="17"/>
        <v>GREEN</v>
      </c>
    </row>
    <row r="220" spans="1:17" s="27" customFormat="1" ht="25.2" x14ac:dyDescent="0.3">
      <c r="A220" s="71"/>
      <c r="B220" s="31">
        <v>210</v>
      </c>
      <c r="C220" s="1" t="s">
        <v>229</v>
      </c>
      <c r="D220" s="1">
        <v>10380527</v>
      </c>
      <c r="E220" s="1">
        <v>112500417</v>
      </c>
      <c r="F220" s="1">
        <v>37300</v>
      </c>
      <c r="G220" s="1">
        <v>1</v>
      </c>
      <c r="H220" s="53">
        <v>6</v>
      </c>
      <c r="I220" s="53">
        <v>4</v>
      </c>
      <c r="J220" s="53">
        <v>2</v>
      </c>
      <c r="K220" s="53">
        <v>0</v>
      </c>
      <c r="L220" s="53">
        <f t="shared" si="15"/>
        <v>2</v>
      </c>
      <c r="M220" s="53">
        <f t="shared" si="16"/>
        <v>100</v>
      </c>
      <c r="N220" s="6">
        <f t="shared" si="14"/>
        <v>74600</v>
      </c>
      <c r="O220" s="1" t="s">
        <v>249</v>
      </c>
      <c r="P220" s="1" t="s">
        <v>232</v>
      </c>
      <c r="Q220" s="55" t="str">
        <f t="shared" si="17"/>
        <v>GREEN</v>
      </c>
    </row>
    <row r="221" spans="1:17" s="27" customFormat="1" ht="25.2" x14ac:dyDescent="0.3">
      <c r="A221" s="71"/>
      <c r="B221" s="31">
        <v>211</v>
      </c>
      <c r="C221" s="1" t="s">
        <v>229</v>
      </c>
      <c r="D221" s="1">
        <v>10380070</v>
      </c>
      <c r="E221" s="1">
        <v>112500418</v>
      </c>
      <c r="F221" s="1">
        <v>33800</v>
      </c>
      <c r="G221" s="1">
        <v>1</v>
      </c>
      <c r="H221" s="53">
        <v>3</v>
      </c>
      <c r="I221" s="53">
        <v>2</v>
      </c>
      <c r="J221" s="53">
        <v>1</v>
      </c>
      <c r="K221" s="53">
        <v>0</v>
      </c>
      <c r="L221" s="53">
        <f t="shared" si="15"/>
        <v>1</v>
      </c>
      <c r="M221" s="53">
        <f t="shared" si="16"/>
        <v>100</v>
      </c>
      <c r="N221" s="6">
        <f t="shared" si="14"/>
        <v>33800</v>
      </c>
      <c r="O221" s="1">
        <v>6</v>
      </c>
      <c r="P221" s="1" t="s">
        <v>231</v>
      </c>
      <c r="Q221" s="55" t="str">
        <f t="shared" si="17"/>
        <v>GREEN</v>
      </c>
    </row>
    <row r="222" spans="1:17" s="27" customFormat="1" ht="25.2" x14ac:dyDescent="0.3">
      <c r="A222" s="71"/>
      <c r="B222" s="31">
        <v>212</v>
      </c>
      <c r="C222" s="1" t="s">
        <v>229</v>
      </c>
      <c r="D222" s="1">
        <v>10380086</v>
      </c>
      <c r="E222" s="1">
        <v>112500419</v>
      </c>
      <c r="F222" s="1">
        <v>32800</v>
      </c>
      <c r="G222" s="1">
        <v>1</v>
      </c>
      <c r="H222" s="53">
        <v>3</v>
      </c>
      <c r="I222" s="53">
        <v>2</v>
      </c>
      <c r="J222" s="53">
        <v>1</v>
      </c>
      <c r="K222" s="53">
        <v>0</v>
      </c>
      <c r="L222" s="53">
        <f t="shared" si="15"/>
        <v>1</v>
      </c>
      <c r="M222" s="53">
        <f t="shared" si="16"/>
        <v>100</v>
      </c>
      <c r="N222" s="6">
        <f t="shared" si="14"/>
        <v>32800</v>
      </c>
      <c r="O222" s="1">
        <v>8</v>
      </c>
      <c r="P222" s="1" t="s">
        <v>231</v>
      </c>
      <c r="Q222" s="55" t="str">
        <f t="shared" si="17"/>
        <v>GREEN</v>
      </c>
    </row>
    <row r="223" spans="1:17" s="27" customFormat="1" ht="15.6" x14ac:dyDescent="0.3">
      <c r="A223" s="35" t="s">
        <v>271</v>
      </c>
      <c r="B223" s="59" t="s">
        <v>271</v>
      </c>
      <c r="C223" s="36" t="s">
        <v>271</v>
      </c>
      <c r="D223" s="36" t="s">
        <v>271</v>
      </c>
      <c r="E223" s="36" t="s">
        <v>271</v>
      </c>
      <c r="F223" s="36" t="s">
        <v>271</v>
      </c>
      <c r="G223" s="36" t="s">
        <v>271</v>
      </c>
      <c r="H223" s="59" t="s">
        <v>271</v>
      </c>
      <c r="I223" s="59" t="s">
        <v>271</v>
      </c>
      <c r="J223" s="59" t="s">
        <v>271</v>
      </c>
      <c r="K223" s="59" t="s">
        <v>271</v>
      </c>
      <c r="L223" s="59" t="s">
        <v>271</v>
      </c>
      <c r="M223" s="59" t="s">
        <v>271</v>
      </c>
      <c r="N223" s="36" t="s">
        <v>271</v>
      </c>
      <c r="O223" s="36" t="s">
        <v>271</v>
      </c>
      <c r="P223" s="36" t="s">
        <v>271</v>
      </c>
      <c r="Q223" s="59" t="s">
        <v>271</v>
      </c>
    </row>
    <row r="224" spans="1:17" s="27" customFormat="1" ht="37.799999999999997" x14ac:dyDescent="0.3">
      <c r="A224" s="71" t="s">
        <v>251</v>
      </c>
      <c r="B224" s="31">
        <v>214</v>
      </c>
      <c r="C224" s="1" t="s">
        <v>252</v>
      </c>
      <c r="D224" s="1">
        <v>10374159</v>
      </c>
      <c r="E224" s="1"/>
      <c r="F224" s="1" t="s">
        <v>69</v>
      </c>
      <c r="G224" s="1">
        <v>1</v>
      </c>
      <c r="H224" s="53">
        <v>12</v>
      </c>
      <c r="I224" s="53">
        <v>8</v>
      </c>
      <c r="J224" s="53">
        <v>4</v>
      </c>
      <c r="K224" s="53">
        <v>0</v>
      </c>
      <c r="L224" s="53">
        <f t="shared" si="15"/>
        <v>4</v>
      </c>
      <c r="M224" s="53">
        <f t="shared" si="16"/>
        <v>100</v>
      </c>
      <c r="N224" s="6">
        <v>0</v>
      </c>
      <c r="O224" s="1" t="s">
        <v>255</v>
      </c>
      <c r="P224" s="6" t="s">
        <v>69</v>
      </c>
      <c r="Q224" s="55" t="str">
        <f t="shared" si="17"/>
        <v>GREEN</v>
      </c>
    </row>
    <row r="225" spans="1:17" s="27" customFormat="1" ht="12.6" x14ac:dyDescent="0.3">
      <c r="A225" s="71"/>
      <c r="B225" s="31">
        <v>215</v>
      </c>
      <c r="C225" s="1" t="s">
        <v>253</v>
      </c>
      <c r="D225" s="1">
        <v>10380080</v>
      </c>
      <c r="E225" s="1">
        <v>135001241</v>
      </c>
      <c r="F225" s="1" t="s">
        <v>69</v>
      </c>
      <c r="G225" s="1">
        <v>1</v>
      </c>
      <c r="H225" s="53">
        <v>6</v>
      </c>
      <c r="I225" s="53">
        <v>4</v>
      </c>
      <c r="J225" s="53">
        <v>2</v>
      </c>
      <c r="K225" s="53">
        <v>0</v>
      </c>
      <c r="L225" s="53">
        <f t="shared" si="15"/>
        <v>2</v>
      </c>
      <c r="M225" s="53">
        <f t="shared" si="16"/>
        <v>100</v>
      </c>
      <c r="N225" s="6">
        <v>0</v>
      </c>
      <c r="O225" s="1" t="s">
        <v>256</v>
      </c>
      <c r="P225" s="6" t="s">
        <v>69</v>
      </c>
      <c r="Q225" s="55" t="str">
        <f t="shared" si="17"/>
        <v>GREEN</v>
      </c>
    </row>
    <row r="226" spans="1:17" s="27" customFormat="1" ht="12.6" x14ac:dyDescent="0.3">
      <c r="A226" s="71"/>
      <c r="B226" s="31">
        <v>216</v>
      </c>
      <c r="C226" s="1" t="s">
        <v>211</v>
      </c>
      <c r="D226" s="1">
        <v>10374811</v>
      </c>
      <c r="E226" s="1">
        <v>112500530</v>
      </c>
      <c r="F226" s="1" t="s">
        <v>69</v>
      </c>
      <c r="G226" s="1">
        <v>1</v>
      </c>
      <c r="H226" s="53">
        <v>3</v>
      </c>
      <c r="I226" s="53">
        <v>2</v>
      </c>
      <c r="J226" s="53">
        <v>1</v>
      </c>
      <c r="K226" s="53">
        <v>0</v>
      </c>
      <c r="L226" s="53">
        <f t="shared" si="15"/>
        <v>1</v>
      </c>
      <c r="M226" s="53">
        <f t="shared" si="16"/>
        <v>100</v>
      </c>
      <c r="N226" s="6">
        <v>0</v>
      </c>
      <c r="O226" s="1" t="s">
        <v>257</v>
      </c>
      <c r="P226" s="6" t="s">
        <v>69</v>
      </c>
      <c r="Q226" s="55" t="str">
        <f t="shared" si="17"/>
        <v>GREEN</v>
      </c>
    </row>
    <row r="227" spans="1:17" s="27" customFormat="1" ht="12.6" x14ac:dyDescent="0.3">
      <c r="A227" s="71"/>
      <c r="B227" s="31">
        <v>217</v>
      </c>
      <c r="C227" s="1" t="s">
        <v>253</v>
      </c>
      <c r="D227" s="1">
        <v>10380081</v>
      </c>
      <c r="E227" s="1">
        <v>135001243</v>
      </c>
      <c r="F227" s="1" t="s">
        <v>69</v>
      </c>
      <c r="G227" s="1">
        <v>1</v>
      </c>
      <c r="H227" s="53">
        <v>3</v>
      </c>
      <c r="I227" s="53">
        <v>2</v>
      </c>
      <c r="J227" s="53">
        <v>1</v>
      </c>
      <c r="K227" s="53">
        <v>0</v>
      </c>
      <c r="L227" s="53">
        <f t="shared" si="15"/>
        <v>1</v>
      </c>
      <c r="M227" s="53">
        <f t="shared" si="16"/>
        <v>100</v>
      </c>
      <c r="N227" s="6">
        <v>0</v>
      </c>
      <c r="O227" s="1" t="s">
        <v>258</v>
      </c>
      <c r="P227" s="6" t="s">
        <v>69</v>
      </c>
      <c r="Q227" s="55" t="str">
        <f t="shared" si="17"/>
        <v>GREEN</v>
      </c>
    </row>
    <row r="228" spans="1:17" s="27" customFormat="1" ht="37.799999999999997" x14ac:dyDescent="0.3">
      <c r="A228" s="71"/>
      <c r="B228" s="31">
        <v>218</v>
      </c>
      <c r="C228" s="1" t="s">
        <v>253</v>
      </c>
      <c r="D228" s="1">
        <v>10380082</v>
      </c>
      <c r="E228" s="1">
        <v>135001239</v>
      </c>
      <c r="F228" s="1" t="s">
        <v>69</v>
      </c>
      <c r="G228" s="1">
        <v>1</v>
      </c>
      <c r="H228" s="53">
        <v>18</v>
      </c>
      <c r="I228" s="53">
        <v>12</v>
      </c>
      <c r="J228" s="53">
        <v>6</v>
      </c>
      <c r="K228" s="53">
        <v>0</v>
      </c>
      <c r="L228" s="53">
        <f t="shared" si="15"/>
        <v>6</v>
      </c>
      <c r="M228" s="53">
        <f t="shared" si="16"/>
        <v>100</v>
      </c>
      <c r="N228" s="6">
        <v>0</v>
      </c>
      <c r="O228" s="1" t="s">
        <v>259</v>
      </c>
      <c r="P228" s="6" t="s">
        <v>69</v>
      </c>
      <c r="Q228" s="55" t="str">
        <f t="shared" si="17"/>
        <v>GREEN</v>
      </c>
    </row>
    <row r="229" spans="1:17" s="27" customFormat="1" ht="12.6" x14ac:dyDescent="0.3">
      <c r="A229" s="71"/>
      <c r="B229" s="31">
        <v>219</v>
      </c>
      <c r="C229" s="1" t="s">
        <v>252</v>
      </c>
      <c r="D229" s="1">
        <v>10399482</v>
      </c>
      <c r="E229" s="1"/>
      <c r="F229" s="1" t="s">
        <v>69</v>
      </c>
      <c r="G229" s="1">
        <v>1</v>
      </c>
      <c r="H229" s="53">
        <v>6</v>
      </c>
      <c r="I229" s="53">
        <v>4</v>
      </c>
      <c r="J229" s="53">
        <v>2</v>
      </c>
      <c r="K229" s="53">
        <v>0</v>
      </c>
      <c r="L229" s="53">
        <f t="shared" si="15"/>
        <v>2</v>
      </c>
      <c r="M229" s="53">
        <f t="shared" si="16"/>
        <v>100</v>
      </c>
      <c r="N229" s="6">
        <v>0</v>
      </c>
      <c r="O229" s="1" t="s">
        <v>260</v>
      </c>
      <c r="P229" s="6" t="s">
        <v>69</v>
      </c>
      <c r="Q229" s="55" t="str">
        <f t="shared" si="17"/>
        <v>GREEN</v>
      </c>
    </row>
    <row r="230" spans="1:17" s="27" customFormat="1" ht="37.799999999999997" x14ac:dyDescent="0.3">
      <c r="A230" s="71"/>
      <c r="B230" s="31">
        <v>220</v>
      </c>
      <c r="C230" s="1" t="s">
        <v>252</v>
      </c>
      <c r="D230" s="1">
        <v>10399483</v>
      </c>
      <c r="E230" s="1"/>
      <c r="F230" s="1" t="s">
        <v>69</v>
      </c>
      <c r="G230" s="1">
        <v>1</v>
      </c>
      <c r="H230" s="53">
        <v>21</v>
      </c>
      <c r="I230" s="53">
        <v>14</v>
      </c>
      <c r="J230" s="53">
        <v>7</v>
      </c>
      <c r="K230" s="53">
        <v>0</v>
      </c>
      <c r="L230" s="53">
        <f t="shared" si="15"/>
        <v>7</v>
      </c>
      <c r="M230" s="53">
        <f t="shared" si="16"/>
        <v>100</v>
      </c>
      <c r="N230" s="6">
        <v>0</v>
      </c>
      <c r="O230" s="1" t="s">
        <v>261</v>
      </c>
      <c r="P230" s="6" t="s">
        <v>69</v>
      </c>
      <c r="Q230" s="55" t="str">
        <f t="shared" si="17"/>
        <v>GREEN</v>
      </c>
    </row>
    <row r="231" spans="1:17" s="27" customFormat="1" ht="12.6" x14ac:dyDescent="0.3">
      <c r="A231" s="71"/>
      <c r="B231" s="31">
        <v>221</v>
      </c>
      <c r="C231" s="1" t="s">
        <v>252</v>
      </c>
      <c r="D231" s="1">
        <v>10399484</v>
      </c>
      <c r="E231" s="1"/>
      <c r="F231" s="1" t="s">
        <v>69</v>
      </c>
      <c r="G231" s="1">
        <v>1</v>
      </c>
      <c r="H231" s="53">
        <v>3</v>
      </c>
      <c r="I231" s="53">
        <v>2</v>
      </c>
      <c r="J231" s="53">
        <v>1</v>
      </c>
      <c r="K231" s="53">
        <v>0</v>
      </c>
      <c r="L231" s="53">
        <f t="shared" si="15"/>
        <v>1</v>
      </c>
      <c r="M231" s="53">
        <f t="shared" si="16"/>
        <v>100</v>
      </c>
      <c r="N231" s="6">
        <v>0</v>
      </c>
      <c r="O231" s="1" t="s">
        <v>258</v>
      </c>
      <c r="P231" s="6" t="s">
        <v>69</v>
      </c>
      <c r="Q231" s="55" t="str">
        <f t="shared" si="17"/>
        <v>GREEN</v>
      </c>
    </row>
    <row r="232" spans="1:17" s="27" customFormat="1" ht="12.6" x14ac:dyDescent="0.3">
      <c r="A232" s="71"/>
      <c r="B232" s="31">
        <v>222</v>
      </c>
      <c r="C232" s="1" t="s">
        <v>252</v>
      </c>
      <c r="D232" s="1">
        <v>10399485</v>
      </c>
      <c r="E232" s="1"/>
      <c r="F232" s="1" t="s">
        <v>69</v>
      </c>
      <c r="G232" s="1">
        <v>1</v>
      </c>
      <c r="H232" s="53">
        <v>6</v>
      </c>
      <c r="I232" s="53">
        <v>4</v>
      </c>
      <c r="J232" s="53">
        <v>2</v>
      </c>
      <c r="K232" s="53">
        <v>0</v>
      </c>
      <c r="L232" s="53">
        <f t="shared" si="15"/>
        <v>2</v>
      </c>
      <c r="M232" s="53">
        <f t="shared" si="16"/>
        <v>100</v>
      </c>
      <c r="N232" s="6">
        <v>0</v>
      </c>
      <c r="O232" s="1" t="s">
        <v>262</v>
      </c>
      <c r="P232" s="6" t="s">
        <v>69</v>
      </c>
      <c r="Q232" s="55" t="str">
        <f t="shared" si="17"/>
        <v>GREEN</v>
      </c>
    </row>
    <row r="233" spans="1:17" s="27" customFormat="1" ht="12.6" x14ac:dyDescent="0.3">
      <c r="A233" s="71"/>
      <c r="B233" s="31">
        <v>223</v>
      </c>
      <c r="C233" s="1" t="s">
        <v>252</v>
      </c>
      <c r="D233" s="1">
        <v>10399486</v>
      </c>
      <c r="E233" s="42"/>
      <c r="F233" s="1" t="s">
        <v>69</v>
      </c>
      <c r="G233" s="1">
        <v>1</v>
      </c>
      <c r="H233" s="53">
        <v>3</v>
      </c>
      <c r="I233" s="53">
        <v>2</v>
      </c>
      <c r="J233" s="53">
        <v>1</v>
      </c>
      <c r="K233" s="53">
        <v>0</v>
      </c>
      <c r="L233" s="53">
        <f t="shared" si="15"/>
        <v>1</v>
      </c>
      <c r="M233" s="53">
        <f t="shared" si="16"/>
        <v>100</v>
      </c>
      <c r="N233" s="6">
        <v>0</v>
      </c>
      <c r="O233" s="9" t="s">
        <v>263</v>
      </c>
      <c r="P233" s="6" t="s">
        <v>69</v>
      </c>
      <c r="Q233" s="55" t="str">
        <f t="shared" si="17"/>
        <v>GREEN</v>
      </c>
    </row>
    <row r="234" spans="1:17" s="27" customFormat="1" ht="12.6" x14ac:dyDescent="0.3">
      <c r="A234" s="71"/>
      <c r="B234" s="31">
        <v>224</v>
      </c>
      <c r="C234" s="1" t="s">
        <v>253</v>
      </c>
      <c r="D234" s="1">
        <v>10414214</v>
      </c>
      <c r="E234" s="1">
        <v>112508020</v>
      </c>
      <c r="F234" s="1"/>
      <c r="G234" s="1"/>
      <c r="H234" s="9"/>
      <c r="I234" s="6" t="s">
        <v>69</v>
      </c>
      <c r="J234" s="6"/>
      <c r="K234" s="53"/>
      <c r="L234" s="6" t="s">
        <v>69</v>
      </c>
      <c r="M234" s="6"/>
      <c r="N234" s="6"/>
      <c r="O234" s="1" t="s">
        <v>260</v>
      </c>
      <c r="P234" s="6" t="s">
        <v>69</v>
      </c>
      <c r="Q234" s="9"/>
    </row>
    <row r="235" spans="1:17" s="27" customFormat="1" ht="12.6" x14ac:dyDescent="0.3">
      <c r="A235" s="71"/>
      <c r="B235" s="31">
        <v>225</v>
      </c>
      <c r="C235" s="1" t="s">
        <v>253</v>
      </c>
      <c r="D235" s="1">
        <v>10414215</v>
      </c>
      <c r="E235" s="1">
        <v>112508021</v>
      </c>
      <c r="F235" s="1"/>
      <c r="G235" s="1"/>
      <c r="H235" s="9"/>
      <c r="I235" s="6" t="s">
        <v>69</v>
      </c>
      <c r="J235" s="6"/>
      <c r="K235" s="53"/>
      <c r="L235" s="6" t="s">
        <v>69</v>
      </c>
      <c r="M235" s="6"/>
      <c r="N235" s="6"/>
      <c r="O235" s="1" t="s">
        <v>262</v>
      </c>
      <c r="P235" s="6" t="s">
        <v>69</v>
      </c>
      <c r="Q235" s="9"/>
    </row>
    <row r="236" spans="1:17" s="27" customFormat="1" ht="12.6" x14ac:dyDescent="0.3">
      <c r="A236" s="71"/>
      <c r="B236" s="31">
        <v>226</v>
      </c>
      <c r="C236" s="1" t="s">
        <v>254</v>
      </c>
      <c r="D236" s="1">
        <v>10414216</v>
      </c>
      <c r="E236" s="1"/>
      <c r="F236" s="1"/>
      <c r="G236" s="1"/>
      <c r="H236" s="9"/>
      <c r="I236" s="6" t="s">
        <v>69</v>
      </c>
      <c r="J236" s="6"/>
      <c r="K236" s="53"/>
      <c r="L236" s="6" t="s">
        <v>69</v>
      </c>
      <c r="M236" s="6"/>
      <c r="N236" s="6"/>
      <c r="O236" s="1" t="s">
        <v>264</v>
      </c>
      <c r="P236" s="6" t="s">
        <v>69</v>
      </c>
      <c r="Q236" s="9"/>
    </row>
  </sheetData>
  <mergeCells count="26">
    <mergeCell ref="A10:A45"/>
    <mergeCell ref="A47:A84"/>
    <mergeCell ref="G8:G9"/>
    <mergeCell ref="H8:H9"/>
    <mergeCell ref="I8:I9"/>
    <mergeCell ref="A8:A9"/>
    <mergeCell ref="B8:B9"/>
    <mergeCell ref="C8:C9"/>
    <mergeCell ref="D8:D9"/>
    <mergeCell ref="E8:E9"/>
    <mergeCell ref="F8:F9"/>
    <mergeCell ref="A1:Q2"/>
    <mergeCell ref="F6:H6"/>
    <mergeCell ref="N8:N9"/>
    <mergeCell ref="O8:O9"/>
    <mergeCell ref="P8:P9"/>
    <mergeCell ref="Q8:Q9"/>
    <mergeCell ref="J8:J9"/>
    <mergeCell ref="L8:L9"/>
    <mergeCell ref="M8:M9"/>
    <mergeCell ref="K8:K9"/>
    <mergeCell ref="A86:A124"/>
    <mergeCell ref="A126:A161"/>
    <mergeCell ref="A163:A196"/>
    <mergeCell ref="A198:A222"/>
    <mergeCell ref="A224:A236"/>
  </mergeCells>
  <conditionalFormatting sqref="L10:L45 L224:L233 L198:L222 L163:L196 L126:L161 L86:L124 L47:L84">
    <cfRule type="expression" dxfId="34" priority="22">
      <formula>$Q10="GREEN"</formula>
    </cfRule>
    <cfRule type="expression" dxfId="33" priority="23">
      <formula>$Q10="YELLOW"</formula>
    </cfRule>
    <cfRule type="expression" dxfId="32" priority="24">
      <formula>$Q10="RED"</formula>
    </cfRule>
  </conditionalFormatting>
  <conditionalFormatting sqref="B47:K84 B86:K124 B126:K161 B163:K196 B198:K222 B224:K236 M10:P45 M224:P236 M198:P222 M163:P196 M126:P161 M86:P124 B10:K45 M47:P84 B46:B236 H46:K233">
    <cfRule type="expression" dxfId="31" priority="21">
      <formula>IF(ISBLANK($N$13),0,SEARCH($N$13,$C10&amp;$D10&amp;$E10))</formula>
    </cfRule>
  </conditionalFormatting>
  <conditionalFormatting sqref="B10:K236">
    <cfRule type="expression" dxfId="30" priority="20">
      <formula>IF(ISBLANK($F$6),0,SEARCH($F$6,$C10&amp;$D10&amp;$E10))</formula>
    </cfRule>
  </conditionalFormatting>
  <conditionalFormatting sqref="M10:Q45 M224:Q236 N223:P223 M198:Q222 N197:P197 M163:Q196 N162:P162 M126:Q161 N125:P125 M86:Q124 N85:P85 M47:Q84 N46:P46">
    <cfRule type="expression" dxfId="29" priority="19">
      <formula>IF(ISBLANK($F$6),0,SEARCH($F$6,$C10&amp;$D10&amp;$E10))</formula>
    </cfRule>
  </conditionalFormatting>
  <conditionalFormatting sqref="L223">
    <cfRule type="expression" dxfId="28" priority="18">
      <formula>IF(ISBLANK($F$6),0,SEARCH($F$6,$C223&amp;$D223&amp;$E223))</formula>
    </cfRule>
  </conditionalFormatting>
  <conditionalFormatting sqref="M223">
    <cfRule type="expression" dxfId="27" priority="17">
      <formula>IF(ISBLANK($F$6),0,SEARCH($F$6,$C223&amp;$D223&amp;$E223))</formula>
    </cfRule>
  </conditionalFormatting>
  <conditionalFormatting sqref="Q223">
    <cfRule type="expression" dxfId="26" priority="16">
      <formula>IF(ISBLANK($F$6),0,SEARCH($F$6,$C223&amp;$D223&amp;$E223))</formula>
    </cfRule>
  </conditionalFormatting>
  <conditionalFormatting sqref="L197">
    <cfRule type="expression" dxfId="25" priority="15">
      <formula>IF(ISBLANK($F$6),0,SEARCH($F$6,$C197&amp;$D197&amp;$E197))</formula>
    </cfRule>
  </conditionalFormatting>
  <conditionalFormatting sqref="M197">
    <cfRule type="expression" dxfId="24" priority="14">
      <formula>IF(ISBLANK($F$6),0,SEARCH($F$6,$C197&amp;$D197&amp;$E197))</formula>
    </cfRule>
  </conditionalFormatting>
  <conditionalFormatting sqref="Q197">
    <cfRule type="expression" dxfId="23" priority="13">
      <formula>IF(ISBLANK($F$6),0,SEARCH($F$6,$C197&amp;$D197&amp;$E197))</formula>
    </cfRule>
  </conditionalFormatting>
  <conditionalFormatting sqref="L162">
    <cfRule type="expression" dxfId="22" priority="12">
      <formula>IF(ISBLANK($F$6),0,SEARCH($F$6,$C162&amp;$D162&amp;$E162))</formula>
    </cfRule>
  </conditionalFormatting>
  <conditionalFormatting sqref="M162">
    <cfRule type="expression" dxfId="21" priority="11">
      <formula>IF(ISBLANK($F$6),0,SEARCH($F$6,$C162&amp;$D162&amp;$E162))</formula>
    </cfRule>
  </conditionalFormatting>
  <conditionalFormatting sqref="Q162">
    <cfRule type="expression" dxfId="20" priority="10">
      <formula>IF(ISBLANK($F$6),0,SEARCH($F$6,$C162&amp;$D162&amp;$E162))</formula>
    </cfRule>
  </conditionalFormatting>
  <conditionalFormatting sqref="L125">
    <cfRule type="expression" dxfId="19" priority="9">
      <formula>IF(ISBLANK($F$6),0,SEARCH($F$6,$C125&amp;$D125&amp;$E125))</formula>
    </cfRule>
  </conditionalFormatting>
  <conditionalFormatting sqref="M125">
    <cfRule type="expression" dxfId="18" priority="8">
      <formula>IF(ISBLANK($F$6),0,SEARCH($F$6,$C125&amp;$D125&amp;$E125))</formula>
    </cfRule>
  </conditionalFormatting>
  <conditionalFormatting sqref="Q125">
    <cfRule type="expression" dxfId="17" priority="7">
      <formula>IF(ISBLANK($F$6),0,SEARCH($F$6,$C125&amp;$D125&amp;$E125))</formula>
    </cfRule>
  </conditionalFormatting>
  <conditionalFormatting sqref="L85">
    <cfRule type="expression" dxfId="16" priority="6">
      <formula>IF(ISBLANK($F$6),0,SEARCH($F$6,$C85&amp;$D85&amp;$E85))</formula>
    </cfRule>
  </conditionalFormatting>
  <conditionalFormatting sqref="M85">
    <cfRule type="expression" dxfId="15" priority="5">
      <formula>IF(ISBLANK($F$6),0,SEARCH($F$6,$C85&amp;$D85&amp;$E85))</formula>
    </cfRule>
  </conditionalFormatting>
  <conditionalFormatting sqref="Q85">
    <cfRule type="expression" dxfId="14" priority="4">
      <formula>IF(ISBLANK($F$6),0,SEARCH($F$6,$C85&amp;$D85&amp;$E85))</formula>
    </cfRule>
  </conditionalFormatting>
  <conditionalFormatting sqref="L46">
    <cfRule type="expression" dxfId="13" priority="3">
      <formula>IF(ISBLANK($F$6),0,SEARCH($F$6,$C46&amp;$D46&amp;$E46))</formula>
    </cfRule>
  </conditionalFormatting>
  <conditionalFormatting sqref="M46">
    <cfRule type="expression" dxfId="12" priority="2">
      <formula>IF(ISBLANK($F$6),0,SEARCH($F$6,$C46&amp;$D46&amp;$E46))</formula>
    </cfRule>
  </conditionalFormatting>
  <conditionalFormatting sqref="Q46">
    <cfRule type="expression" dxfId="11" priority="1">
      <formula>IF(ISBLANK($F$6),0,SEARCH($F$6,$C46&amp;$D46&amp;$E46))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B70FD-0C20-4CB7-B6B9-E4C65BA84074}">
  <sheetPr codeName="Sheet2"/>
  <dimension ref="A1:C9"/>
  <sheetViews>
    <sheetView workbookViewId="0">
      <selection activeCell="B4" sqref="B4"/>
    </sheetView>
  </sheetViews>
  <sheetFormatPr defaultRowHeight="14.4" x14ac:dyDescent="0.3"/>
  <cols>
    <col min="1" max="1" width="13.77734375" style="7" customWidth="1"/>
    <col min="2" max="2" width="12" bestFit="1" customWidth="1"/>
  </cols>
  <sheetData>
    <row r="1" spans="1:3" ht="28.8" x14ac:dyDescent="0.3">
      <c r="A1" s="7" t="s">
        <v>274</v>
      </c>
      <c r="B1">
        <f>SUM('Stock Final'!L:L)</f>
        <v>2124</v>
      </c>
    </row>
    <row r="2" spans="1:3" ht="28.8" x14ac:dyDescent="0.3">
      <c r="A2" s="7" t="s">
        <v>278</v>
      </c>
      <c r="B2">
        <f>SUM('Stock Final'!I:I)</f>
        <v>4257</v>
      </c>
    </row>
    <row r="3" spans="1:3" ht="28.8" x14ac:dyDescent="0.3">
      <c r="A3" s="7" t="s">
        <v>64</v>
      </c>
      <c r="B3" s="5">
        <f>SUM('Stock Final'!N:N)</f>
        <v>6528175</v>
      </c>
      <c r="C3" s="5"/>
    </row>
    <row r="4" spans="1:3" ht="28.8" x14ac:dyDescent="0.3">
      <c r="A4" s="7" t="s">
        <v>279</v>
      </c>
      <c r="B4">
        <f>COUNTIF('Stock Final'!L:L,"0")</f>
        <v>2</v>
      </c>
    </row>
    <row r="5" spans="1:3" x14ac:dyDescent="0.3">
      <c r="A5" s="7" t="s">
        <v>67</v>
      </c>
      <c r="B5" s="8" t="str">
        <f>_xlfn.IFNA(ADDRESS(MATCH(0,'Stock Final'!L:L,0),10,4),"NOT FOUND")</f>
        <v>J60</v>
      </c>
    </row>
    <row r="6" spans="1:3" x14ac:dyDescent="0.3">
      <c r="A6" s="7" t="s">
        <v>275</v>
      </c>
      <c r="B6">
        <f>COUNTIF('Stock Final'!Q:Q,"GREEN")</f>
        <v>209</v>
      </c>
    </row>
    <row r="7" spans="1:3" x14ac:dyDescent="0.3">
      <c r="A7" s="7" t="s">
        <v>276</v>
      </c>
      <c r="B7">
        <f>COUNTIF('Stock Final'!Q:Q,"YELLOW")</f>
        <v>5</v>
      </c>
    </row>
    <row r="8" spans="1:3" x14ac:dyDescent="0.3">
      <c r="A8" s="7" t="s">
        <v>277</v>
      </c>
      <c r="B8">
        <f>COUNTIF('Stock Final'!Q:Q,"RED")</f>
        <v>4</v>
      </c>
    </row>
    <row r="9" spans="1:3" ht="28.8" x14ac:dyDescent="0.3">
      <c r="A9" s="7" t="s">
        <v>280</v>
      </c>
      <c r="B9">
        <f>COUNTIF('Stock Final'!I:I,"0")</f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AC94E-BF44-4F41-B4E6-DD9F6A36DB54}">
  <sheetPr codeName="Sheet3"/>
  <dimension ref="A1:V251"/>
  <sheetViews>
    <sheetView zoomScaleNormal="100" workbookViewId="0">
      <selection activeCell="J38" sqref="J38"/>
    </sheetView>
  </sheetViews>
  <sheetFormatPr defaultRowHeight="12.6" x14ac:dyDescent="0.2"/>
  <cols>
    <col min="1" max="1" width="5.44140625" style="28" customWidth="1"/>
    <col min="2" max="2" width="7" style="15" customWidth="1"/>
    <col min="3" max="3" width="53" style="3" bestFit="1" customWidth="1"/>
    <col min="4" max="4" width="14.77734375" style="3" customWidth="1"/>
    <col min="5" max="6" width="12.77734375" style="13" customWidth="1"/>
    <col min="7" max="7" width="10.6640625" style="15" customWidth="1"/>
    <col min="8" max="8" width="8.21875" style="15" customWidth="1"/>
    <col min="9" max="9" width="11" style="6" customWidth="1"/>
    <col min="10" max="10" width="11.109375" style="6" customWidth="1"/>
    <col min="11" max="11" width="11.77734375" style="6" customWidth="1"/>
    <col min="12" max="12" width="13" style="14" customWidth="1"/>
    <col min="13" max="13" width="13.44140625" style="14" customWidth="1"/>
    <col min="14" max="14" width="9.5546875" style="6" customWidth="1"/>
    <col min="15" max="15" width="10.33203125" style="6" customWidth="1"/>
    <col min="16" max="22" width="8.88671875" style="14"/>
    <col min="23" max="16384" width="8.88671875" style="15"/>
  </cols>
  <sheetData>
    <row r="1" spans="1:15" s="14" customFormat="1" ht="14.4" customHeight="1" x14ac:dyDescent="0.2">
      <c r="A1" s="80" t="s">
        <v>70</v>
      </c>
      <c r="B1" s="66" t="s">
        <v>1</v>
      </c>
      <c r="C1" s="66" t="s">
        <v>0</v>
      </c>
      <c r="D1" s="66" t="s">
        <v>2</v>
      </c>
      <c r="E1" s="70" t="s">
        <v>3</v>
      </c>
      <c r="F1" s="70" t="s">
        <v>66</v>
      </c>
      <c r="G1" s="66" t="s">
        <v>4</v>
      </c>
      <c r="H1" s="78" t="s">
        <v>266</v>
      </c>
      <c r="I1" s="66" t="s">
        <v>250</v>
      </c>
      <c r="J1" s="66" t="s">
        <v>61</v>
      </c>
      <c r="K1" s="66" t="s">
        <v>62</v>
      </c>
      <c r="L1" s="78" t="s">
        <v>68</v>
      </c>
      <c r="M1" s="78" t="s">
        <v>65</v>
      </c>
      <c r="N1" s="66" t="s">
        <v>267</v>
      </c>
      <c r="O1" s="66" t="s">
        <v>230</v>
      </c>
    </row>
    <row r="2" spans="1:15" s="14" customFormat="1" ht="43.2" customHeight="1" x14ac:dyDescent="0.2">
      <c r="A2" s="81"/>
      <c r="B2" s="66"/>
      <c r="C2" s="66"/>
      <c r="D2" s="66"/>
      <c r="E2" s="70"/>
      <c r="F2" s="70"/>
      <c r="G2" s="66"/>
      <c r="H2" s="77"/>
      <c r="I2" s="66"/>
      <c r="J2" s="66"/>
      <c r="K2" s="66"/>
      <c r="L2" s="77"/>
      <c r="M2" s="77"/>
      <c r="N2" s="66"/>
      <c r="O2" s="66"/>
    </row>
    <row r="3" spans="1:15" x14ac:dyDescent="0.2">
      <c r="A3" s="81"/>
      <c r="B3" s="9">
        <v>1</v>
      </c>
      <c r="C3" s="2" t="s">
        <v>6</v>
      </c>
      <c r="D3" s="2">
        <v>10316549</v>
      </c>
      <c r="E3" s="1">
        <v>112507057</v>
      </c>
      <c r="F3" s="12">
        <v>0</v>
      </c>
      <c r="G3" s="1">
        <v>1</v>
      </c>
      <c r="H3" s="1">
        <f>I3</f>
        <v>6</v>
      </c>
      <c r="I3" s="6">
        <v>6</v>
      </c>
      <c r="J3" s="6">
        <v>0</v>
      </c>
      <c r="K3" s="6">
        <f>I3-J3</f>
        <v>6</v>
      </c>
      <c r="L3" s="14">
        <f>K3/I3*100</f>
        <v>100</v>
      </c>
      <c r="M3" s="14">
        <f>F3*K3</f>
        <v>0</v>
      </c>
      <c r="N3" s="6" t="s">
        <v>69</v>
      </c>
      <c r="O3" s="6" t="s">
        <v>69</v>
      </c>
    </row>
    <row r="4" spans="1:15" x14ac:dyDescent="0.2">
      <c r="A4" s="81"/>
      <c r="B4" s="9">
        <v>2</v>
      </c>
      <c r="C4" s="2" t="s">
        <v>7</v>
      </c>
      <c r="D4" s="2">
        <v>10033037</v>
      </c>
      <c r="E4" s="1">
        <v>112507056</v>
      </c>
      <c r="F4" s="1">
        <v>12901</v>
      </c>
      <c r="G4" s="1">
        <v>1</v>
      </c>
      <c r="H4" s="1">
        <f t="shared" ref="H4:H38" si="0">I4</f>
        <v>6</v>
      </c>
      <c r="I4" s="6">
        <v>6</v>
      </c>
      <c r="J4" s="6">
        <v>0</v>
      </c>
      <c r="K4" s="6">
        <f t="shared" ref="K4:K38" si="1">I4-J4</f>
        <v>6</v>
      </c>
      <c r="L4" s="14">
        <f t="shared" ref="L4:L38" si="2">K4/I4*100</f>
        <v>100</v>
      </c>
      <c r="M4" s="14">
        <f t="shared" ref="M4:M38" si="3">F4*K4</f>
        <v>77406</v>
      </c>
      <c r="N4" s="6" t="s">
        <v>69</v>
      </c>
      <c r="O4" s="6" t="s">
        <v>69</v>
      </c>
    </row>
    <row r="5" spans="1:15" x14ac:dyDescent="0.2">
      <c r="A5" s="81"/>
      <c r="B5" s="9">
        <v>3</v>
      </c>
      <c r="C5" s="2" t="s">
        <v>7</v>
      </c>
      <c r="D5" s="2">
        <v>10033038</v>
      </c>
      <c r="E5" s="1">
        <v>112507055</v>
      </c>
      <c r="F5" s="1">
        <v>12901</v>
      </c>
      <c r="G5" s="1">
        <v>1</v>
      </c>
      <c r="H5" s="1">
        <f t="shared" si="0"/>
        <v>6</v>
      </c>
      <c r="I5" s="6">
        <v>6</v>
      </c>
      <c r="J5" s="6">
        <v>0</v>
      </c>
      <c r="K5" s="6">
        <f t="shared" si="1"/>
        <v>6</v>
      </c>
      <c r="L5" s="14">
        <f t="shared" si="2"/>
        <v>100</v>
      </c>
      <c r="M5" s="14">
        <f t="shared" si="3"/>
        <v>77406</v>
      </c>
      <c r="N5" s="6" t="s">
        <v>69</v>
      </c>
      <c r="O5" s="6" t="s">
        <v>69</v>
      </c>
    </row>
    <row r="6" spans="1:15" x14ac:dyDescent="0.2">
      <c r="A6" s="81"/>
      <c r="B6" s="9">
        <v>4</v>
      </c>
      <c r="C6" s="2" t="s">
        <v>8</v>
      </c>
      <c r="D6" s="2" t="s">
        <v>9</v>
      </c>
      <c r="E6" s="1">
        <v>112052061</v>
      </c>
      <c r="F6" s="1">
        <v>2208</v>
      </c>
      <c r="G6" s="1">
        <v>2</v>
      </c>
      <c r="H6" s="1">
        <f t="shared" si="0"/>
        <v>12</v>
      </c>
      <c r="I6" s="6">
        <v>12</v>
      </c>
      <c r="J6" s="6">
        <v>0</v>
      </c>
      <c r="K6" s="6">
        <f t="shared" si="1"/>
        <v>12</v>
      </c>
      <c r="L6" s="14">
        <f t="shared" si="2"/>
        <v>100</v>
      </c>
      <c r="M6" s="14">
        <f t="shared" si="3"/>
        <v>26496</v>
      </c>
      <c r="N6" s="6" t="s">
        <v>69</v>
      </c>
      <c r="O6" s="6" t="s">
        <v>69</v>
      </c>
    </row>
    <row r="7" spans="1:15" x14ac:dyDescent="0.2">
      <c r="A7" s="81"/>
      <c r="B7" s="9">
        <v>5</v>
      </c>
      <c r="C7" s="2" t="s">
        <v>10</v>
      </c>
      <c r="D7" s="2">
        <v>10212782</v>
      </c>
      <c r="E7" s="1">
        <v>112052066</v>
      </c>
      <c r="F7" s="1">
        <v>473</v>
      </c>
      <c r="G7" s="1">
        <v>4</v>
      </c>
      <c r="H7" s="1">
        <f t="shared" si="0"/>
        <v>24</v>
      </c>
      <c r="I7" s="6">
        <v>24</v>
      </c>
      <c r="J7" s="6">
        <v>0</v>
      </c>
      <c r="K7" s="6">
        <f t="shared" si="1"/>
        <v>24</v>
      </c>
      <c r="L7" s="14">
        <f t="shared" si="2"/>
        <v>100</v>
      </c>
      <c r="M7" s="14">
        <f t="shared" si="3"/>
        <v>11352</v>
      </c>
      <c r="N7" s="6" t="s">
        <v>69</v>
      </c>
      <c r="O7" s="6" t="s">
        <v>69</v>
      </c>
    </row>
    <row r="8" spans="1:15" x14ac:dyDescent="0.2">
      <c r="A8" s="81"/>
      <c r="B8" s="9">
        <v>6</v>
      </c>
      <c r="C8" s="2" t="s">
        <v>11</v>
      </c>
      <c r="D8" s="2">
        <v>10032269</v>
      </c>
      <c r="E8" s="1">
        <v>112052063</v>
      </c>
      <c r="F8" s="1">
        <v>8802</v>
      </c>
      <c r="G8" s="1">
        <v>1</v>
      </c>
      <c r="H8" s="1">
        <f t="shared" si="0"/>
        <v>12</v>
      </c>
      <c r="I8" s="6">
        <v>12</v>
      </c>
      <c r="J8" s="6">
        <v>0</v>
      </c>
      <c r="K8" s="6">
        <f t="shared" si="1"/>
        <v>12</v>
      </c>
      <c r="L8" s="14">
        <f t="shared" si="2"/>
        <v>100</v>
      </c>
      <c r="M8" s="14">
        <f t="shared" si="3"/>
        <v>105624</v>
      </c>
      <c r="N8" s="6" t="s">
        <v>69</v>
      </c>
      <c r="O8" s="6" t="s">
        <v>69</v>
      </c>
    </row>
    <row r="9" spans="1:15" x14ac:dyDescent="0.2">
      <c r="A9" s="81"/>
      <c r="B9" s="9">
        <v>7</v>
      </c>
      <c r="C9" s="2" t="s">
        <v>12</v>
      </c>
      <c r="D9" s="2">
        <v>10032270</v>
      </c>
      <c r="E9" s="1">
        <v>112052064</v>
      </c>
      <c r="F9" s="1">
        <v>8802</v>
      </c>
      <c r="G9" s="1">
        <v>1</v>
      </c>
      <c r="H9" s="1">
        <f t="shared" si="0"/>
        <v>6</v>
      </c>
      <c r="I9" s="6">
        <v>6</v>
      </c>
      <c r="J9" s="6">
        <v>0</v>
      </c>
      <c r="K9" s="6">
        <f t="shared" si="1"/>
        <v>6</v>
      </c>
      <c r="L9" s="14">
        <f t="shared" si="2"/>
        <v>100</v>
      </c>
      <c r="M9" s="14">
        <f t="shared" si="3"/>
        <v>52812</v>
      </c>
      <c r="N9" s="6" t="s">
        <v>69</v>
      </c>
      <c r="O9" s="6" t="s">
        <v>69</v>
      </c>
    </row>
    <row r="10" spans="1:15" x14ac:dyDescent="0.2">
      <c r="A10" s="81"/>
      <c r="B10" s="9">
        <v>8</v>
      </c>
      <c r="C10" s="2" t="s">
        <v>13</v>
      </c>
      <c r="D10" s="2" t="s">
        <v>14</v>
      </c>
      <c r="E10" s="1">
        <v>112507054</v>
      </c>
      <c r="F10" s="1">
        <v>466</v>
      </c>
      <c r="G10" s="1">
        <v>2</v>
      </c>
      <c r="H10" s="1">
        <f t="shared" si="0"/>
        <v>12</v>
      </c>
      <c r="I10" s="6">
        <v>12</v>
      </c>
      <c r="J10" s="6">
        <v>0</v>
      </c>
      <c r="K10" s="6">
        <f t="shared" si="1"/>
        <v>12</v>
      </c>
      <c r="L10" s="14">
        <f t="shared" si="2"/>
        <v>100</v>
      </c>
      <c r="M10" s="14">
        <f t="shared" si="3"/>
        <v>5592</v>
      </c>
      <c r="N10" s="6" t="s">
        <v>69</v>
      </c>
      <c r="O10" s="6" t="s">
        <v>69</v>
      </c>
    </row>
    <row r="11" spans="1:15" x14ac:dyDescent="0.2">
      <c r="A11" s="81"/>
      <c r="B11" s="9">
        <v>9</v>
      </c>
      <c r="C11" s="2" t="s">
        <v>15</v>
      </c>
      <c r="D11" s="2">
        <v>10031819</v>
      </c>
      <c r="E11" s="1">
        <v>112507053</v>
      </c>
      <c r="F11" s="1">
        <v>254</v>
      </c>
      <c r="G11" s="1">
        <v>2</v>
      </c>
      <c r="H11" s="1">
        <f t="shared" si="0"/>
        <v>12</v>
      </c>
      <c r="I11" s="6">
        <v>12</v>
      </c>
      <c r="J11" s="6">
        <v>0</v>
      </c>
      <c r="K11" s="6">
        <f t="shared" si="1"/>
        <v>12</v>
      </c>
      <c r="L11" s="14">
        <f t="shared" si="2"/>
        <v>100</v>
      </c>
      <c r="M11" s="14">
        <f t="shared" si="3"/>
        <v>3048</v>
      </c>
      <c r="N11" s="6" t="s">
        <v>69</v>
      </c>
      <c r="O11" s="6" t="s">
        <v>69</v>
      </c>
    </row>
    <row r="12" spans="1:15" ht="25.2" x14ac:dyDescent="0.2">
      <c r="A12" s="81"/>
      <c r="B12" s="9">
        <v>10</v>
      </c>
      <c r="C12" s="2" t="s">
        <v>16</v>
      </c>
      <c r="D12" s="2" t="s">
        <v>17</v>
      </c>
      <c r="E12" s="1">
        <v>112052065</v>
      </c>
      <c r="F12" s="1">
        <v>388</v>
      </c>
      <c r="G12" s="1">
        <v>4</v>
      </c>
      <c r="H12" s="1">
        <f t="shared" si="0"/>
        <v>24</v>
      </c>
      <c r="I12" s="6">
        <v>24</v>
      </c>
      <c r="J12" s="6">
        <v>0</v>
      </c>
      <c r="K12" s="6">
        <f t="shared" si="1"/>
        <v>24</v>
      </c>
      <c r="L12" s="14">
        <f t="shared" si="2"/>
        <v>100</v>
      </c>
      <c r="M12" s="14">
        <f t="shared" si="3"/>
        <v>9312</v>
      </c>
      <c r="N12" s="6" t="s">
        <v>69</v>
      </c>
      <c r="O12" s="6" t="s">
        <v>69</v>
      </c>
    </row>
    <row r="13" spans="1:15" x14ac:dyDescent="0.2">
      <c r="A13" s="81"/>
      <c r="B13" s="9">
        <v>11</v>
      </c>
      <c r="C13" s="2" t="s">
        <v>18</v>
      </c>
      <c r="D13" s="2" t="s">
        <v>19</v>
      </c>
      <c r="E13" s="1">
        <v>112052067</v>
      </c>
      <c r="F13" s="1">
        <v>391</v>
      </c>
      <c r="G13" s="1">
        <v>4</v>
      </c>
      <c r="H13" s="1">
        <f t="shared" si="0"/>
        <v>24</v>
      </c>
      <c r="I13" s="6">
        <v>24</v>
      </c>
      <c r="J13" s="6">
        <v>0</v>
      </c>
      <c r="K13" s="6">
        <f t="shared" si="1"/>
        <v>24</v>
      </c>
      <c r="L13" s="14">
        <f t="shared" si="2"/>
        <v>100</v>
      </c>
      <c r="M13" s="14">
        <f t="shared" si="3"/>
        <v>9384</v>
      </c>
      <c r="N13" s="6" t="s">
        <v>69</v>
      </c>
      <c r="O13" s="6" t="s">
        <v>69</v>
      </c>
    </row>
    <row r="14" spans="1:15" ht="25.2" x14ac:dyDescent="0.2">
      <c r="A14" s="81"/>
      <c r="B14" s="9">
        <v>12</v>
      </c>
      <c r="C14" s="2" t="s">
        <v>20</v>
      </c>
      <c r="D14" s="2" t="s">
        <v>21</v>
      </c>
      <c r="E14" s="1">
        <v>112052062</v>
      </c>
      <c r="F14" s="1">
        <v>276</v>
      </c>
      <c r="G14" s="1">
        <v>2</v>
      </c>
      <c r="H14" s="1">
        <f t="shared" si="0"/>
        <v>12</v>
      </c>
      <c r="I14" s="6">
        <v>12</v>
      </c>
      <c r="J14" s="6">
        <v>0</v>
      </c>
      <c r="K14" s="6">
        <f t="shared" si="1"/>
        <v>12</v>
      </c>
      <c r="L14" s="14">
        <f t="shared" si="2"/>
        <v>100</v>
      </c>
      <c r="M14" s="14">
        <f t="shared" si="3"/>
        <v>3312</v>
      </c>
      <c r="N14" s="6" t="s">
        <v>69</v>
      </c>
      <c r="O14" s="6" t="s">
        <v>69</v>
      </c>
    </row>
    <row r="15" spans="1:15" x14ac:dyDescent="0.2">
      <c r="A15" s="81"/>
      <c r="B15" s="9">
        <v>13</v>
      </c>
      <c r="C15" s="2" t="s">
        <v>22</v>
      </c>
      <c r="D15" s="2" t="s">
        <v>23</v>
      </c>
      <c r="E15" s="1">
        <v>112507052</v>
      </c>
      <c r="F15" s="1">
        <v>246</v>
      </c>
      <c r="G15" s="1">
        <v>2</v>
      </c>
      <c r="H15" s="1">
        <f t="shared" si="0"/>
        <v>12</v>
      </c>
      <c r="I15" s="6">
        <v>12</v>
      </c>
      <c r="J15" s="6">
        <v>0</v>
      </c>
      <c r="K15" s="6">
        <f t="shared" si="1"/>
        <v>12</v>
      </c>
      <c r="L15" s="14">
        <f t="shared" si="2"/>
        <v>100</v>
      </c>
      <c r="M15" s="14">
        <f t="shared" si="3"/>
        <v>2952</v>
      </c>
      <c r="N15" s="6" t="s">
        <v>69</v>
      </c>
      <c r="O15" s="6" t="s">
        <v>69</v>
      </c>
    </row>
    <row r="16" spans="1:15" x14ac:dyDescent="0.2">
      <c r="A16" s="81"/>
      <c r="B16" s="9">
        <v>14</v>
      </c>
      <c r="C16" s="2" t="s">
        <v>24</v>
      </c>
      <c r="D16" s="2" t="s">
        <v>25</v>
      </c>
      <c r="E16" s="1" t="s">
        <v>69</v>
      </c>
      <c r="F16" s="1"/>
      <c r="G16" s="1">
        <v>4</v>
      </c>
      <c r="H16" s="1">
        <f t="shared" si="0"/>
        <v>24</v>
      </c>
      <c r="I16" s="6">
        <v>24</v>
      </c>
      <c r="J16" s="6">
        <v>0</v>
      </c>
      <c r="K16" s="6">
        <f t="shared" si="1"/>
        <v>24</v>
      </c>
      <c r="L16" s="14">
        <f t="shared" si="2"/>
        <v>100</v>
      </c>
      <c r="M16" s="14">
        <f t="shared" si="3"/>
        <v>0</v>
      </c>
      <c r="N16" s="6" t="s">
        <v>69</v>
      </c>
      <c r="O16" s="6" t="s">
        <v>69</v>
      </c>
    </row>
    <row r="17" spans="1:15" x14ac:dyDescent="0.2">
      <c r="A17" s="81"/>
      <c r="B17" s="9"/>
      <c r="C17" s="2" t="s">
        <v>24</v>
      </c>
      <c r="D17" s="2" t="s">
        <v>69</v>
      </c>
      <c r="E17" s="1">
        <v>102070075</v>
      </c>
      <c r="F17" s="1">
        <v>570</v>
      </c>
      <c r="G17" s="1">
        <v>4</v>
      </c>
      <c r="H17" s="1">
        <f t="shared" si="0"/>
        <v>24</v>
      </c>
      <c r="I17" s="6">
        <v>24</v>
      </c>
      <c r="J17" s="6">
        <v>0</v>
      </c>
      <c r="K17" s="6">
        <f t="shared" si="1"/>
        <v>24</v>
      </c>
      <c r="L17" s="14">
        <f t="shared" si="2"/>
        <v>100</v>
      </c>
      <c r="M17" s="14">
        <f t="shared" si="3"/>
        <v>13680</v>
      </c>
      <c r="N17" s="6" t="s">
        <v>69</v>
      </c>
      <c r="O17" s="6" t="s">
        <v>69</v>
      </c>
    </row>
    <row r="18" spans="1:15" ht="25.2" x14ac:dyDescent="0.2">
      <c r="A18" s="81"/>
      <c r="B18" s="9">
        <v>15</v>
      </c>
      <c r="C18" s="2" t="s">
        <v>26</v>
      </c>
      <c r="D18" s="2" t="s">
        <v>27</v>
      </c>
      <c r="E18" s="1">
        <v>112052060</v>
      </c>
      <c r="F18" s="1">
        <v>1280</v>
      </c>
      <c r="G18" s="1">
        <v>2</v>
      </c>
      <c r="H18" s="1">
        <f t="shared" si="0"/>
        <v>12</v>
      </c>
      <c r="I18" s="6">
        <v>12</v>
      </c>
      <c r="J18" s="6">
        <v>0</v>
      </c>
      <c r="K18" s="6">
        <f t="shared" si="1"/>
        <v>12</v>
      </c>
      <c r="L18" s="14">
        <f t="shared" si="2"/>
        <v>100</v>
      </c>
      <c r="M18" s="14">
        <f t="shared" si="3"/>
        <v>15360</v>
      </c>
      <c r="N18" s="6" t="s">
        <v>69</v>
      </c>
      <c r="O18" s="6" t="s">
        <v>69</v>
      </c>
    </row>
    <row r="19" spans="1:15" x14ac:dyDescent="0.2">
      <c r="A19" s="81"/>
      <c r="B19" s="9">
        <v>16</v>
      </c>
      <c r="C19" s="2" t="s">
        <v>28</v>
      </c>
      <c r="D19" s="2" t="s">
        <v>29</v>
      </c>
      <c r="E19" s="1">
        <v>135008040</v>
      </c>
      <c r="F19" s="1">
        <v>95</v>
      </c>
      <c r="G19" s="1">
        <v>2</v>
      </c>
      <c r="H19" s="1">
        <f t="shared" si="0"/>
        <v>12</v>
      </c>
      <c r="I19" s="6">
        <v>12</v>
      </c>
      <c r="J19" s="6">
        <v>0</v>
      </c>
      <c r="K19" s="6">
        <f t="shared" si="1"/>
        <v>12</v>
      </c>
      <c r="L19" s="14">
        <f t="shared" si="2"/>
        <v>100</v>
      </c>
      <c r="M19" s="14">
        <f t="shared" si="3"/>
        <v>1140</v>
      </c>
      <c r="N19" s="6" t="s">
        <v>69</v>
      </c>
      <c r="O19" s="6" t="s">
        <v>69</v>
      </c>
    </row>
    <row r="20" spans="1:15" x14ac:dyDescent="0.2">
      <c r="A20" s="81"/>
      <c r="B20" s="9">
        <v>17</v>
      </c>
      <c r="C20" s="2" t="s">
        <v>63</v>
      </c>
      <c r="D20" s="2">
        <v>10030136</v>
      </c>
      <c r="E20" s="1">
        <v>112507058</v>
      </c>
      <c r="F20" s="1">
        <v>212</v>
      </c>
      <c r="G20" s="1">
        <v>4</v>
      </c>
      <c r="H20" s="1">
        <f t="shared" si="0"/>
        <v>24</v>
      </c>
      <c r="I20" s="6">
        <v>24</v>
      </c>
      <c r="J20" s="6">
        <v>0</v>
      </c>
      <c r="K20" s="6">
        <f t="shared" si="1"/>
        <v>24</v>
      </c>
      <c r="L20" s="14">
        <f t="shared" si="2"/>
        <v>100</v>
      </c>
      <c r="M20" s="14">
        <f t="shared" si="3"/>
        <v>5088</v>
      </c>
      <c r="N20" s="6" t="s">
        <v>69</v>
      </c>
      <c r="O20" s="6" t="s">
        <v>69</v>
      </c>
    </row>
    <row r="21" spans="1:15" x14ac:dyDescent="0.2">
      <c r="A21" s="81"/>
      <c r="B21" s="9">
        <v>18</v>
      </c>
      <c r="C21" s="2" t="s">
        <v>30</v>
      </c>
      <c r="D21" s="2" t="s">
        <v>31</v>
      </c>
      <c r="E21" s="1">
        <v>112507051</v>
      </c>
      <c r="F21" s="1">
        <v>58</v>
      </c>
      <c r="G21" s="1">
        <v>2</v>
      </c>
      <c r="H21" s="1">
        <f t="shared" si="0"/>
        <v>12</v>
      </c>
      <c r="I21" s="6">
        <v>12</v>
      </c>
      <c r="J21" s="6">
        <v>0</v>
      </c>
      <c r="K21" s="6">
        <f t="shared" si="1"/>
        <v>12</v>
      </c>
      <c r="L21" s="14">
        <f t="shared" si="2"/>
        <v>100</v>
      </c>
      <c r="M21" s="14">
        <f t="shared" si="3"/>
        <v>696</v>
      </c>
      <c r="N21" s="6" t="s">
        <v>69</v>
      </c>
      <c r="O21" s="6" t="s">
        <v>69</v>
      </c>
    </row>
    <row r="22" spans="1:15" ht="25.2" x14ac:dyDescent="0.2">
      <c r="A22" s="81"/>
      <c r="B22" s="9">
        <v>19</v>
      </c>
      <c r="C22" s="2" t="s">
        <v>32</v>
      </c>
      <c r="D22" s="2">
        <v>10280786</v>
      </c>
      <c r="E22" s="1">
        <v>112507120</v>
      </c>
      <c r="F22" s="1">
        <v>0</v>
      </c>
      <c r="G22" s="1">
        <v>8</v>
      </c>
      <c r="H22" s="1">
        <f t="shared" si="0"/>
        <v>48</v>
      </c>
      <c r="I22" s="6">
        <v>48</v>
      </c>
      <c r="J22" s="6">
        <v>0</v>
      </c>
      <c r="K22" s="6">
        <f t="shared" si="1"/>
        <v>48</v>
      </c>
      <c r="L22" s="14">
        <f t="shared" si="2"/>
        <v>100</v>
      </c>
      <c r="M22" s="14">
        <f t="shared" si="3"/>
        <v>0</v>
      </c>
      <c r="N22" s="6" t="s">
        <v>69</v>
      </c>
      <c r="O22" s="6" t="s">
        <v>69</v>
      </c>
    </row>
    <row r="23" spans="1:15" ht="25.2" x14ac:dyDescent="0.2">
      <c r="A23" s="81"/>
      <c r="B23" s="9">
        <v>20</v>
      </c>
      <c r="C23" s="2" t="s">
        <v>33</v>
      </c>
      <c r="D23" s="2">
        <v>10068902</v>
      </c>
      <c r="E23" s="1">
        <v>112507119</v>
      </c>
      <c r="F23" s="1">
        <v>0</v>
      </c>
      <c r="G23" s="1">
        <v>2</v>
      </c>
      <c r="H23" s="1">
        <f t="shared" si="0"/>
        <v>12</v>
      </c>
      <c r="I23" s="6">
        <v>12</v>
      </c>
      <c r="J23" s="6">
        <v>0</v>
      </c>
      <c r="K23" s="6">
        <f t="shared" si="1"/>
        <v>12</v>
      </c>
      <c r="L23" s="14">
        <f t="shared" si="2"/>
        <v>100</v>
      </c>
      <c r="M23" s="14">
        <f t="shared" si="3"/>
        <v>0</v>
      </c>
      <c r="N23" s="6" t="s">
        <v>69</v>
      </c>
      <c r="O23" s="6" t="s">
        <v>69</v>
      </c>
    </row>
    <row r="24" spans="1:15" x14ac:dyDescent="0.2">
      <c r="A24" s="81"/>
      <c r="B24" s="9">
        <v>21</v>
      </c>
      <c r="C24" s="2" t="s">
        <v>34</v>
      </c>
      <c r="D24" s="2" t="s">
        <v>35</v>
      </c>
      <c r="E24" s="1">
        <v>112507127</v>
      </c>
      <c r="F24" s="1">
        <v>0</v>
      </c>
      <c r="G24" s="1">
        <v>2</v>
      </c>
      <c r="H24" s="1">
        <f t="shared" si="0"/>
        <v>12</v>
      </c>
      <c r="I24" s="6">
        <v>12</v>
      </c>
      <c r="J24" s="6">
        <v>0</v>
      </c>
      <c r="K24" s="6">
        <f t="shared" si="1"/>
        <v>12</v>
      </c>
      <c r="L24" s="14">
        <f t="shared" si="2"/>
        <v>100</v>
      </c>
      <c r="M24" s="14">
        <f t="shared" si="3"/>
        <v>0</v>
      </c>
      <c r="N24" s="6" t="s">
        <v>69</v>
      </c>
      <c r="O24" s="6" t="s">
        <v>69</v>
      </c>
    </row>
    <row r="25" spans="1:15" x14ac:dyDescent="0.2">
      <c r="A25" s="81"/>
      <c r="B25" s="9">
        <v>22</v>
      </c>
      <c r="C25" s="2" t="s">
        <v>36</v>
      </c>
      <c r="D25" s="2">
        <v>10357771</v>
      </c>
      <c r="E25" s="1">
        <v>112507059</v>
      </c>
      <c r="F25" s="1">
        <v>28050</v>
      </c>
      <c r="G25" s="1">
        <v>2</v>
      </c>
      <c r="H25" s="1">
        <f t="shared" si="0"/>
        <v>12</v>
      </c>
      <c r="I25" s="6">
        <v>12</v>
      </c>
      <c r="J25" s="6">
        <v>0</v>
      </c>
      <c r="K25" s="6">
        <f t="shared" si="1"/>
        <v>12</v>
      </c>
      <c r="L25" s="14">
        <f t="shared" si="2"/>
        <v>100</v>
      </c>
      <c r="M25" s="14">
        <f t="shared" si="3"/>
        <v>336600</v>
      </c>
      <c r="N25" s="6" t="s">
        <v>69</v>
      </c>
      <c r="O25" s="6" t="s">
        <v>69</v>
      </c>
    </row>
    <row r="26" spans="1:15" x14ac:dyDescent="0.2">
      <c r="A26" s="81"/>
      <c r="B26" s="9">
        <v>23</v>
      </c>
      <c r="C26" s="2" t="s">
        <v>37</v>
      </c>
      <c r="D26" s="2" t="s">
        <v>38</v>
      </c>
      <c r="E26" s="1">
        <v>112052057</v>
      </c>
      <c r="F26" s="1">
        <v>2166</v>
      </c>
      <c r="G26" s="1">
        <v>2</v>
      </c>
      <c r="H26" s="1">
        <f t="shared" si="0"/>
        <v>12</v>
      </c>
      <c r="I26" s="6">
        <v>12</v>
      </c>
      <c r="J26" s="6">
        <v>0</v>
      </c>
      <c r="K26" s="6">
        <f t="shared" si="1"/>
        <v>12</v>
      </c>
      <c r="L26" s="14">
        <f t="shared" si="2"/>
        <v>100</v>
      </c>
      <c r="M26" s="14">
        <f t="shared" si="3"/>
        <v>25992</v>
      </c>
      <c r="N26" s="6" t="s">
        <v>69</v>
      </c>
      <c r="O26" s="6" t="s">
        <v>69</v>
      </c>
    </row>
    <row r="27" spans="1:15" x14ac:dyDescent="0.2">
      <c r="A27" s="81"/>
      <c r="B27" s="9">
        <v>24</v>
      </c>
      <c r="C27" s="3" t="s">
        <v>39</v>
      </c>
      <c r="D27" s="2" t="s">
        <v>40</v>
      </c>
      <c r="E27" s="1">
        <v>112052059</v>
      </c>
      <c r="F27" s="1">
        <v>2166</v>
      </c>
      <c r="G27" s="1">
        <v>2</v>
      </c>
      <c r="H27" s="1">
        <f t="shared" si="0"/>
        <v>12</v>
      </c>
      <c r="I27" s="6">
        <v>12</v>
      </c>
      <c r="J27" s="6">
        <v>0</v>
      </c>
      <c r="K27" s="6">
        <f t="shared" si="1"/>
        <v>12</v>
      </c>
      <c r="L27" s="14">
        <f t="shared" si="2"/>
        <v>100</v>
      </c>
      <c r="M27" s="14">
        <f t="shared" si="3"/>
        <v>25992</v>
      </c>
      <c r="N27" s="6" t="s">
        <v>69</v>
      </c>
      <c r="O27" s="6" t="s">
        <v>69</v>
      </c>
    </row>
    <row r="28" spans="1:15" x14ac:dyDescent="0.2">
      <c r="A28" s="81"/>
      <c r="B28" s="9">
        <v>25</v>
      </c>
      <c r="C28" s="4" t="s">
        <v>41</v>
      </c>
      <c r="D28" s="2" t="s">
        <v>42</v>
      </c>
      <c r="E28" s="1">
        <v>112507116</v>
      </c>
      <c r="F28" s="1">
        <v>5850</v>
      </c>
      <c r="G28" s="1">
        <v>2</v>
      </c>
      <c r="H28" s="1">
        <f t="shared" si="0"/>
        <v>12</v>
      </c>
      <c r="I28" s="6">
        <v>12</v>
      </c>
      <c r="J28" s="6">
        <v>0</v>
      </c>
      <c r="K28" s="6">
        <f t="shared" si="1"/>
        <v>12</v>
      </c>
      <c r="L28" s="14">
        <f t="shared" si="2"/>
        <v>100</v>
      </c>
      <c r="M28" s="14">
        <f t="shared" si="3"/>
        <v>70200</v>
      </c>
      <c r="N28" s="6" t="s">
        <v>69</v>
      </c>
      <c r="O28" s="6" t="s">
        <v>69</v>
      </c>
    </row>
    <row r="29" spans="1:15" x14ac:dyDescent="0.2">
      <c r="A29" s="81"/>
      <c r="B29" s="9">
        <v>26</v>
      </c>
      <c r="C29" s="2" t="s">
        <v>43</v>
      </c>
      <c r="D29" s="2" t="s">
        <v>44</v>
      </c>
      <c r="E29" s="1">
        <v>112052053</v>
      </c>
      <c r="F29" s="1">
        <v>5600</v>
      </c>
      <c r="G29" s="1">
        <v>2</v>
      </c>
      <c r="H29" s="1">
        <f t="shared" si="0"/>
        <v>12</v>
      </c>
      <c r="I29" s="6">
        <v>12</v>
      </c>
      <c r="J29" s="6">
        <v>0</v>
      </c>
      <c r="K29" s="6">
        <f t="shared" si="1"/>
        <v>12</v>
      </c>
      <c r="L29" s="14">
        <f t="shared" si="2"/>
        <v>100</v>
      </c>
      <c r="M29" s="14">
        <f t="shared" si="3"/>
        <v>67200</v>
      </c>
      <c r="N29" s="6" t="s">
        <v>69</v>
      </c>
      <c r="O29" s="6" t="s">
        <v>69</v>
      </c>
    </row>
    <row r="30" spans="1:15" x14ac:dyDescent="0.2">
      <c r="A30" s="81"/>
      <c r="B30" s="9">
        <v>27</v>
      </c>
      <c r="C30" s="3" t="s">
        <v>45</v>
      </c>
      <c r="D30" s="2" t="s">
        <v>46</v>
      </c>
      <c r="E30" s="1">
        <v>112507115</v>
      </c>
      <c r="F30" s="1">
        <v>5600</v>
      </c>
      <c r="G30" s="1">
        <v>2</v>
      </c>
      <c r="H30" s="1">
        <f t="shared" si="0"/>
        <v>12</v>
      </c>
      <c r="I30" s="6">
        <v>12</v>
      </c>
      <c r="J30" s="6">
        <v>0</v>
      </c>
      <c r="K30" s="6">
        <f t="shared" si="1"/>
        <v>12</v>
      </c>
      <c r="L30" s="14">
        <f t="shared" si="2"/>
        <v>100</v>
      </c>
      <c r="M30" s="14">
        <f t="shared" si="3"/>
        <v>67200</v>
      </c>
      <c r="N30" s="6" t="s">
        <v>69</v>
      </c>
      <c r="O30" s="6" t="s">
        <v>69</v>
      </c>
    </row>
    <row r="31" spans="1:15" x14ac:dyDescent="0.2">
      <c r="A31" s="81"/>
      <c r="B31" s="9">
        <v>28</v>
      </c>
      <c r="C31" s="3" t="s">
        <v>47</v>
      </c>
      <c r="D31" s="2" t="s">
        <v>48</v>
      </c>
      <c r="E31" s="1">
        <v>112052055</v>
      </c>
      <c r="F31" s="1">
        <v>5600</v>
      </c>
      <c r="G31" s="1">
        <v>2</v>
      </c>
      <c r="H31" s="1">
        <f t="shared" si="0"/>
        <v>12</v>
      </c>
      <c r="I31" s="6">
        <v>12</v>
      </c>
      <c r="J31" s="6">
        <v>0</v>
      </c>
      <c r="K31" s="6">
        <f t="shared" si="1"/>
        <v>12</v>
      </c>
      <c r="L31" s="14">
        <f t="shared" si="2"/>
        <v>100</v>
      </c>
      <c r="M31" s="14">
        <f t="shared" si="3"/>
        <v>67200</v>
      </c>
      <c r="N31" s="6" t="s">
        <v>69</v>
      </c>
      <c r="O31" s="6" t="s">
        <v>69</v>
      </c>
    </row>
    <row r="32" spans="1:15" x14ac:dyDescent="0.2">
      <c r="A32" s="81"/>
      <c r="B32" s="9">
        <v>29</v>
      </c>
      <c r="C32" s="3" t="s">
        <v>49</v>
      </c>
      <c r="D32" s="2" t="s">
        <v>50</v>
      </c>
      <c r="E32" s="1">
        <v>112507117</v>
      </c>
      <c r="F32" s="1">
        <v>5850</v>
      </c>
      <c r="G32" s="1">
        <v>2</v>
      </c>
      <c r="H32" s="1">
        <f t="shared" si="0"/>
        <v>12</v>
      </c>
      <c r="I32" s="6">
        <v>12</v>
      </c>
      <c r="J32" s="6">
        <v>0</v>
      </c>
      <c r="K32" s="6">
        <f t="shared" si="1"/>
        <v>12</v>
      </c>
      <c r="L32" s="14">
        <f t="shared" si="2"/>
        <v>100</v>
      </c>
      <c r="M32" s="14">
        <f t="shared" si="3"/>
        <v>70200</v>
      </c>
      <c r="N32" s="6" t="s">
        <v>69</v>
      </c>
      <c r="O32" s="6" t="s">
        <v>69</v>
      </c>
    </row>
    <row r="33" spans="1:15" x14ac:dyDescent="0.2">
      <c r="A33" s="81"/>
      <c r="B33" s="9">
        <v>30</v>
      </c>
      <c r="C33" s="3" t="s">
        <v>51</v>
      </c>
      <c r="D33" s="2">
        <v>10317339</v>
      </c>
      <c r="E33" s="1">
        <v>112500586</v>
      </c>
      <c r="F33" s="1">
        <v>78905</v>
      </c>
      <c r="G33" s="1">
        <v>1</v>
      </c>
      <c r="H33" s="1">
        <f t="shared" si="0"/>
        <v>6</v>
      </c>
      <c r="I33" s="6">
        <v>6</v>
      </c>
      <c r="J33" s="6">
        <v>0</v>
      </c>
      <c r="K33" s="6">
        <f t="shared" si="1"/>
        <v>6</v>
      </c>
      <c r="L33" s="14">
        <f t="shared" si="2"/>
        <v>100</v>
      </c>
      <c r="M33" s="14">
        <f t="shared" si="3"/>
        <v>473430</v>
      </c>
      <c r="N33" s="6" t="s">
        <v>69</v>
      </c>
      <c r="O33" s="6" t="s">
        <v>69</v>
      </c>
    </row>
    <row r="34" spans="1:15" ht="25.2" x14ac:dyDescent="0.2">
      <c r="A34" s="81"/>
      <c r="B34" s="9">
        <v>31</v>
      </c>
      <c r="C34" s="2" t="s">
        <v>52</v>
      </c>
      <c r="D34" s="2" t="s">
        <v>53</v>
      </c>
      <c r="E34" s="1">
        <v>135009964</v>
      </c>
      <c r="F34" s="1">
        <v>1165</v>
      </c>
      <c r="G34" s="1">
        <v>2</v>
      </c>
      <c r="H34" s="1">
        <f t="shared" si="0"/>
        <v>12</v>
      </c>
      <c r="I34" s="6">
        <v>12</v>
      </c>
      <c r="J34" s="6">
        <v>0</v>
      </c>
      <c r="K34" s="6">
        <f t="shared" si="1"/>
        <v>12</v>
      </c>
      <c r="L34" s="14">
        <f t="shared" si="2"/>
        <v>100</v>
      </c>
      <c r="M34" s="14">
        <f t="shared" si="3"/>
        <v>13980</v>
      </c>
      <c r="N34" s="6" t="s">
        <v>69</v>
      </c>
      <c r="O34" s="6" t="s">
        <v>69</v>
      </c>
    </row>
    <row r="35" spans="1:15" ht="25.2" x14ac:dyDescent="0.2">
      <c r="A35" s="81"/>
      <c r="B35" s="9">
        <v>32</v>
      </c>
      <c r="C35" s="3" t="s">
        <v>39</v>
      </c>
      <c r="D35" s="2" t="s">
        <v>54</v>
      </c>
      <c r="E35" s="1">
        <v>135009966</v>
      </c>
      <c r="F35" s="1">
        <v>1165</v>
      </c>
      <c r="G35" s="1">
        <v>2</v>
      </c>
      <c r="H35" s="1">
        <f t="shared" si="0"/>
        <v>12</v>
      </c>
      <c r="I35" s="6">
        <v>12</v>
      </c>
      <c r="J35" s="6">
        <v>0</v>
      </c>
      <c r="K35" s="6">
        <f t="shared" si="1"/>
        <v>12</v>
      </c>
      <c r="L35" s="14">
        <f t="shared" si="2"/>
        <v>100</v>
      </c>
      <c r="M35" s="14">
        <f t="shared" si="3"/>
        <v>13980</v>
      </c>
      <c r="N35" s="6" t="s">
        <v>69</v>
      </c>
      <c r="O35" s="6" t="s">
        <v>69</v>
      </c>
    </row>
    <row r="36" spans="1:15" ht="25.2" x14ac:dyDescent="0.2">
      <c r="A36" s="81"/>
      <c r="B36" s="9">
        <v>33</v>
      </c>
      <c r="C36" s="3" t="s">
        <v>55</v>
      </c>
      <c r="D36" s="2" t="s">
        <v>56</v>
      </c>
      <c r="E36" s="1">
        <v>135000262</v>
      </c>
      <c r="F36" s="1">
        <v>4750</v>
      </c>
      <c r="G36" s="1">
        <v>2</v>
      </c>
      <c r="H36" s="1">
        <f t="shared" si="0"/>
        <v>12</v>
      </c>
      <c r="I36" s="6">
        <v>12</v>
      </c>
      <c r="J36" s="6">
        <v>0</v>
      </c>
      <c r="K36" s="6">
        <f t="shared" si="1"/>
        <v>12</v>
      </c>
      <c r="L36" s="14">
        <f t="shared" si="2"/>
        <v>100</v>
      </c>
      <c r="M36" s="14">
        <f t="shared" si="3"/>
        <v>57000</v>
      </c>
      <c r="N36" s="6" t="s">
        <v>69</v>
      </c>
      <c r="O36" s="6" t="s">
        <v>69</v>
      </c>
    </row>
    <row r="37" spans="1:15" ht="25.2" x14ac:dyDescent="0.2">
      <c r="A37" s="81"/>
      <c r="B37" s="9">
        <v>34</v>
      </c>
      <c r="C37" s="3" t="s">
        <v>57</v>
      </c>
      <c r="D37" s="2" t="s">
        <v>58</v>
      </c>
      <c r="E37" s="1">
        <v>135000263</v>
      </c>
      <c r="F37" s="1">
        <v>4750</v>
      </c>
      <c r="G37" s="1">
        <v>2</v>
      </c>
      <c r="H37" s="1">
        <f t="shared" si="0"/>
        <v>12</v>
      </c>
      <c r="I37" s="6">
        <v>12</v>
      </c>
      <c r="J37" s="6">
        <v>0</v>
      </c>
      <c r="K37" s="6">
        <f t="shared" si="1"/>
        <v>12</v>
      </c>
      <c r="L37" s="14">
        <f t="shared" si="2"/>
        <v>100</v>
      </c>
      <c r="M37" s="14">
        <f t="shared" si="3"/>
        <v>57000</v>
      </c>
      <c r="N37" s="6" t="s">
        <v>69</v>
      </c>
      <c r="O37" s="6" t="s">
        <v>69</v>
      </c>
    </row>
    <row r="38" spans="1:15" ht="25.2" x14ac:dyDescent="0.2">
      <c r="A38" s="82"/>
      <c r="B38" s="9">
        <v>35</v>
      </c>
      <c r="C38" s="3" t="s">
        <v>59</v>
      </c>
      <c r="D38" s="2" t="s">
        <v>60</v>
      </c>
      <c r="E38" s="1">
        <v>135008112</v>
      </c>
      <c r="F38" s="1">
        <v>0</v>
      </c>
      <c r="G38" s="9">
        <v>2</v>
      </c>
      <c r="H38" s="1">
        <f t="shared" si="0"/>
        <v>12</v>
      </c>
      <c r="I38" s="6">
        <v>12</v>
      </c>
      <c r="J38" s="6">
        <v>0</v>
      </c>
      <c r="K38" s="6">
        <f t="shared" si="1"/>
        <v>12</v>
      </c>
      <c r="L38" s="14">
        <f t="shared" si="2"/>
        <v>100</v>
      </c>
      <c r="M38" s="14">
        <f t="shared" si="3"/>
        <v>0</v>
      </c>
      <c r="N38" s="6" t="s">
        <v>69</v>
      </c>
      <c r="O38" s="6" t="s">
        <v>69</v>
      </c>
    </row>
    <row r="39" spans="1:15" x14ac:dyDescent="0.2">
      <c r="B39" s="9"/>
      <c r="C39" s="2"/>
      <c r="D39" s="2"/>
      <c r="E39" s="1"/>
      <c r="F39" s="1"/>
      <c r="G39" s="9"/>
      <c r="H39" s="9"/>
    </row>
    <row r="40" spans="1:15" ht="12.6" customHeight="1" x14ac:dyDescent="0.2">
      <c r="A40" s="80" t="s">
        <v>71</v>
      </c>
      <c r="B40" s="66" t="s">
        <v>1</v>
      </c>
      <c r="C40" s="66" t="s">
        <v>0</v>
      </c>
      <c r="D40" s="66" t="s">
        <v>2</v>
      </c>
      <c r="E40" s="70" t="s">
        <v>3</v>
      </c>
      <c r="F40" s="70" t="s">
        <v>66</v>
      </c>
      <c r="G40" s="66" t="s">
        <v>4</v>
      </c>
      <c r="H40" s="78" t="s">
        <v>268</v>
      </c>
      <c r="I40" s="66" t="s">
        <v>250</v>
      </c>
      <c r="J40" s="66" t="s">
        <v>61</v>
      </c>
      <c r="K40" s="66" t="s">
        <v>62</v>
      </c>
      <c r="L40" s="78" t="s">
        <v>68</v>
      </c>
      <c r="M40" s="78" t="s">
        <v>65</v>
      </c>
      <c r="N40" s="66" t="s">
        <v>267</v>
      </c>
      <c r="O40" s="66" t="s">
        <v>230</v>
      </c>
    </row>
    <row r="41" spans="1:15" ht="49.2" customHeight="1" x14ac:dyDescent="0.2">
      <c r="A41" s="81"/>
      <c r="B41" s="66"/>
      <c r="C41" s="66"/>
      <c r="D41" s="66"/>
      <c r="E41" s="70"/>
      <c r="F41" s="70"/>
      <c r="G41" s="66"/>
      <c r="H41" s="77"/>
      <c r="I41" s="66"/>
      <c r="J41" s="66"/>
      <c r="K41" s="66"/>
      <c r="L41" s="77"/>
      <c r="M41" s="77"/>
      <c r="N41" s="66"/>
      <c r="O41" s="66"/>
    </row>
    <row r="42" spans="1:15" x14ac:dyDescent="0.2">
      <c r="A42" s="81"/>
      <c r="B42" s="9">
        <v>1</v>
      </c>
      <c r="C42" s="2" t="s">
        <v>72</v>
      </c>
      <c r="D42" s="10">
        <v>10284280</v>
      </c>
      <c r="E42" s="10">
        <v>112507024</v>
      </c>
      <c r="F42" s="1">
        <v>47142</v>
      </c>
      <c r="G42" s="1">
        <v>1</v>
      </c>
      <c r="H42" s="1">
        <f>I42</f>
        <v>3</v>
      </c>
      <c r="I42" s="14">
        <v>3</v>
      </c>
      <c r="J42" s="6">
        <v>0</v>
      </c>
      <c r="K42" s="6">
        <f>I42-J42</f>
        <v>3</v>
      </c>
      <c r="L42" s="14">
        <f>K42/I42*100</f>
        <v>100</v>
      </c>
      <c r="M42" s="14">
        <f>K42*F42</f>
        <v>141426</v>
      </c>
      <c r="N42" s="6" t="s">
        <v>69</v>
      </c>
      <c r="O42" s="6" t="s">
        <v>69</v>
      </c>
    </row>
    <row r="43" spans="1:15" x14ac:dyDescent="0.2">
      <c r="A43" s="81"/>
      <c r="B43" s="9">
        <v>2</v>
      </c>
      <c r="C43" s="2" t="s">
        <v>73</v>
      </c>
      <c r="D43" s="10">
        <v>10284282</v>
      </c>
      <c r="E43" s="10">
        <v>112507023</v>
      </c>
      <c r="F43" s="1">
        <v>23086</v>
      </c>
      <c r="G43" s="1">
        <v>1</v>
      </c>
      <c r="H43" s="1">
        <f t="shared" ref="H43:H79" si="4">I43</f>
        <v>3</v>
      </c>
      <c r="I43" s="14">
        <v>3</v>
      </c>
      <c r="J43" s="6">
        <v>0</v>
      </c>
      <c r="K43" s="6">
        <f t="shared" ref="K43:K79" si="5">I43-J43</f>
        <v>3</v>
      </c>
      <c r="L43" s="14">
        <f t="shared" ref="L43:L79" si="6">K43/I43*100</f>
        <v>100</v>
      </c>
      <c r="M43" s="14">
        <f t="shared" ref="M43:M79" si="7">K43*F43</f>
        <v>69258</v>
      </c>
      <c r="N43" s="6" t="s">
        <v>69</v>
      </c>
      <c r="O43" s="6" t="s">
        <v>69</v>
      </c>
    </row>
    <row r="44" spans="1:15" x14ac:dyDescent="0.2">
      <c r="A44" s="81"/>
      <c r="B44" s="9">
        <v>3</v>
      </c>
      <c r="C44" s="2" t="s">
        <v>74</v>
      </c>
      <c r="D44" s="10">
        <v>10284284</v>
      </c>
      <c r="E44" s="10">
        <v>112507006</v>
      </c>
      <c r="F44" s="1">
        <v>14356</v>
      </c>
      <c r="G44" s="1">
        <v>2</v>
      </c>
      <c r="H44" s="1">
        <f t="shared" si="4"/>
        <v>6</v>
      </c>
      <c r="I44" s="14">
        <v>6</v>
      </c>
      <c r="J44" s="6">
        <v>0</v>
      </c>
      <c r="K44" s="6">
        <f t="shared" si="5"/>
        <v>6</v>
      </c>
      <c r="L44" s="14">
        <f t="shared" si="6"/>
        <v>100</v>
      </c>
      <c r="M44" s="14">
        <f t="shared" si="7"/>
        <v>86136</v>
      </c>
      <c r="N44" s="6" t="s">
        <v>69</v>
      </c>
      <c r="O44" s="6" t="s">
        <v>69</v>
      </c>
    </row>
    <row r="45" spans="1:15" x14ac:dyDescent="0.2">
      <c r="A45" s="81"/>
      <c r="B45" s="9">
        <v>4</v>
      </c>
      <c r="C45" s="2" t="s">
        <v>75</v>
      </c>
      <c r="D45" s="10">
        <v>10283949</v>
      </c>
      <c r="E45" s="10">
        <v>112507009</v>
      </c>
      <c r="F45" s="1">
        <v>699</v>
      </c>
      <c r="G45" s="1">
        <v>2</v>
      </c>
      <c r="H45" s="1">
        <f t="shared" si="4"/>
        <v>6</v>
      </c>
      <c r="I45" s="14">
        <v>6</v>
      </c>
      <c r="J45" s="6">
        <v>0</v>
      </c>
      <c r="K45" s="6">
        <f t="shared" si="5"/>
        <v>6</v>
      </c>
      <c r="L45" s="14">
        <f t="shared" si="6"/>
        <v>100</v>
      </c>
      <c r="M45" s="14">
        <f t="shared" si="7"/>
        <v>4194</v>
      </c>
      <c r="N45" s="6" t="s">
        <v>69</v>
      </c>
      <c r="O45" s="6" t="s">
        <v>69</v>
      </c>
    </row>
    <row r="46" spans="1:15" x14ac:dyDescent="0.2">
      <c r="A46" s="81"/>
      <c r="B46" s="9">
        <v>5</v>
      </c>
      <c r="C46" s="2" t="s">
        <v>76</v>
      </c>
      <c r="D46" s="10">
        <v>10284285</v>
      </c>
      <c r="E46" s="10">
        <v>112507007</v>
      </c>
      <c r="F46" s="1">
        <v>1508</v>
      </c>
      <c r="G46" s="1">
        <v>1</v>
      </c>
      <c r="H46" s="1">
        <f t="shared" si="4"/>
        <v>3</v>
      </c>
      <c r="I46" s="14">
        <v>3</v>
      </c>
      <c r="J46" s="6">
        <v>0</v>
      </c>
      <c r="K46" s="6">
        <f t="shared" si="5"/>
        <v>3</v>
      </c>
      <c r="L46" s="14">
        <f t="shared" si="6"/>
        <v>100</v>
      </c>
      <c r="M46" s="14">
        <f t="shared" si="7"/>
        <v>4524</v>
      </c>
      <c r="N46" s="6" t="s">
        <v>69</v>
      </c>
      <c r="O46" s="6" t="s">
        <v>69</v>
      </c>
    </row>
    <row r="47" spans="1:15" x14ac:dyDescent="0.2">
      <c r="A47" s="81"/>
      <c r="B47" s="9">
        <v>6</v>
      </c>
      <c r="C47" s="2" t="s">
        <v>77</v>
      </c>
      <c r="D47" s="10" t="s">
        <v>109</v>
      </c>
      <c r="E47" s="10">
        <v>112507022</v>
      </c>
      <c r="F47" s="1">
        <v>424</v>
      </c>
      <c r="G47" s="1">
        <v>2</v>
      </c>
      <c r="H47" s="1">
        <f t="shared" si="4"/>
        <v>6</v>
      </c>
      <c r="I47" s="14">
        <v>6</v>
      </c>
      <c r="J47" s="6">
        <v>0</v>
      </c>
      <c r="K47" s="6">
        <f t="shared" si="5"/>
        <v>6</v>
      </c>
      <c r="L47" s="14">
        <f t="shared" si="6"/>
        <v>100</v>
      </c>
      <c r="M47" s="14">
        <f t="shared" si="7"/>
        <v>2544</v>
      </c>
      <c r="N47" s="6" t="s">
        <v>69</v>
      </c>
      <c r="O47" s="6" t="s">
        <v>69</v>
      </c>
    </row>
    <row r="48" spans="1:15" x14ac:dyDescent="0.2">
      <c r="A48" s="81"/>
      <c r="B48" s="9">
        <v>7</v>
      </c>
      <c r="C48" s="2" t="s">
        <v>78</v>
      </c>
      <c r="D48" s="10">
        <v>10284286</v>
      </c>
      <c r="E48" s="10">
        <v>112507004</v>
      </c>
      <c r="F48" s="1">
        <v>966</v>
      </c>
      <c r="G48" s="1">
        <v>1</v>
      </c>
      <c r="H48" s="1">
        <f t="shared" si="4"/>
        <v>3</v>
      </c>
      <c r="I48" s="14">
        <v>3</v>
      </c>
      <c r="J48" s="6">
        <v>0</v>
      </c>
      <c r="K48" s="6">
        <f t="shared" si="5"/>
        <v>3</v>
      </c>
      <c r="L48" s="14">
        <f t="shared" si="6"/>
        <v>100</v>
      </c>
      <c r="M48" s="14">
        <f t="shared" si="7"/>
        <v>2898</v>
      </c>
      <c r="N48" s="6" t="s">
        <v>69</v>
      </c>
      <c r="O48" s="6" t="s">
        <v>69</v>
      </c>
    </row>
    <row r="49" spans="1:15" x14ac:dyDescent="0.2">
      <c r="A49" s="81"/>
      <c r="B49" s="9">
        <v>8</v>
      </c>
      <c r="C49" s="2" t="s">
        <v>79</v>
      </c>
      <c r="D49" s="10">
        <v>10284295</v>
      </c>
      <c r="E49" s="10">
        <v>112507001</v>
      </c>
      <c r="F49" s="1">
        <v>1564</v>
      </c>
      <c r="G49" s="1">
        <v>2</v>
      </c>
      <c r="H49" s="1">
        <f t="shared" si="4"/>
        <v>6</v>
      </c>
      <c r="I49" s="14">
        <v>6</v>
      </c>
      <c r="J49" s="6">
        <v>0</v>
      </c>
      <c r="K49" s="6">
        <f t="shared" si="5"/>
        <v>6</v>
      </c>
      <c r="L49" s="14">
        <f t="shared" si="6"/>
        <v>100</v>
      </c>
      <c r="M49" s="14">
        <f t="shared" si="7"/>
        <v>9384</v>
      </c>
      <c r="N49" s="6" t="s">
        <v>69</v>
      </c>
      <c r="O49" s="6" t="s">
        <v>69</v>
      </c>
    </row>
    <row r="50" spans="1:15" x14ac:dyDescent="0.2">
      <c r="A50" s="81"/>
      <c r="B50" s="9">
        <v>9</v>
      </c>
      <c r="C50" s="2" t="s">
        <v>80</v>
      </c>
      <c r="D50" s="10">
        <v>10284289</v>
      </c>
      <c r="E50" s="10">
        <v>112507020</v>
      </c>
      <c r="F50" s="1">
        <v>494</v>
      </c>
      <c r="G50" s="1">
        <v>1</v>
      </c>
      <c r="H50" s="1">
        <f t="shared" si="4"/>
        <v>3</v>
      </c>
      <c r="I50" s="14">
        <v>3</v>
      </c>
      <c r="J50" s="6">
        <v>0</v>
      </c>
      <c r="K50" s="6">
        <f t="shared" si="5"/>
        <v>3</v>
      </c>
      <c r="L50" s="14">
        <f t="shared" si="6"/>
        <v>100</v>
      </c>
      <c r="M50" s="14">
        <f t="shared" si="7"/>
        <v>1482</v>
      </c>
      <c r="N50" s="6" t="s">
        <v>69</v>
      </c>
      <c r="O50" s="6" t="s">
        <v>69</v>
      </c>
    </row>
    <row r="51" spans="1:15" x14ac:dyDescent="0.2">
      <c r="A51" s="81"/>
      <c r="B51" s="9">
        <v>10</v>
      </c>
      <c r="C51" s="2" t="s">
        <v>81</v>
      </c>
      <c r="D51" s="10">
        <v>10284293</v>
      </c>
      <c r="E51" s="10">
        <v>112507021</v>
      </c>
      <c r="F51" s="1">
        <v>848</v>
      </c>
      <c r="G51" s="1">
        <v>1</v>
      </c>
      <c r="H51" s="1">
        <f t="shared" si="4"/>
        <v>3</v>
      </c>
      <c r="I51" s="14">
        <v>3</v>
      </c>
      <c r="J51" s="6">
        <v>0</v>
      </c>
      <c r="K51" s="6">
        <f t="shared" si="5"/>
        <v>3</v>
      </c>
      <c r="L51" s="14">
        <f t="shared" si="6"/>
        <v>100</v>
      </c>
      <c r="M51" s="14">
        <f t="shared" si="7"/>
        <v>2544</v>
      </c>
      <c r="N51" s="6" t="s">
        <v>69</v>
      </c>
      <c r="O51" s="6" t="s">
        <v>69</v>
      </c>
    </row>
    <row r="52" spans="1:15" x14ac:dyDescent="0.2">
      <c r="A52" s="81"/>
      <c r="B52" s="9">
        <v>11</v>
      </c>
      <c r="C52" s="2" t="s">
        <v>82</v>
      </c>
      <c r="D52" s="10">
        <v>10283961</v>
      </c>
      <c r="E52" s="10">
        <v>112507010</v>
      </c>
      <c r="F52" s="1">
        <v>3864</v>
      </c>
      <c r="G52" s="1">
        <v>2</v>
      </c>
      <c r="H52" s="1">
        <f t="shared" si="4"/>
        <v>6</v>
      </c>
      <c r="I52" s="14">
        <v>6</v>
      </c>
      <c r="J52" s="6">
        <v>0</v>
      </c>
      <c r="K52" s="6">
        <f t="shared" si="5"/>
        <v>6</v>
      </c>
      <c r="L52" s="14">
        <f t="shared" si="6"/>
        <v>100</v>
      </c>
      <c r="M52" s="14">
        <f t="shared" si="7"/>
        <v>23184</v>
      </c>
      <c r="N52" s="6" t="s">
        <v>69</v>
      </c>
      <c r="O52" s="6" t="s">
        <v>69</v>
      </c>
    </row>
    <row r="53" spans="1:15" x14ac:dyDescent="0.2">
      <c r="A53" s="81"/>
      <c r="B53" s="9">
        <v>12</v>
      </c>
      <c r="C53" s="2" t="s">
        <v>83</v>
      </c>
      <c r="D53" s="10">
        <v>10214224</v>
      </c>
      <c r="E53" s="10">
        <v>102070091</v>
      </c>
      <c r="F53" s="1">
        <v>1350</v>
      </c>
      <c r="G53" s="1">
        <v>4</v>
      </c>
      <c r="H53" s="1">
        <f t="shared" si="4"/>
        <v>12</v>
      </c>
      <c r="I53" s="14">
        <v>12</v>
      </c>
      <c r="J53" s="6">
        <v>0</v>
      </c>
      <c r="K53" s="6">
        <f t="shared" si="5"/>
        <v>12</v>
      </c>
      <c r="L53" s="14">
        <f t="shared" si="6"/>
        <v>100</v>
      </c>
      <c r="M53" s="14">
        <f t="shared" si="7"/>
        <v>16200</v>
      </c>
      <c r="N53" s="6" t="s">
        <v>69</v>
      </c>
      <c r="O53" s="6" t="s">
        <v>69</v>
      </c>
    </row>
    <row r="54" spans="1:15" x14ac:dyDescent="0.2">
      <c r="A54" s="81"/>
      <c r="B54" s="9">
        <v>13</v>
      </c>
      <c r="C54" s="2" t="s">
        <v>115</v>
      </c>
      <c r="D54" s="10">
        <v>10284290</v>
      </c>
      <c r="E54" s="10">
        <v>112507019</v>
      </c>
      <c r="F54" s="1">
        <v>424</v>
      </c>
      <c r="G54" s="1">
        <v>4</v>
      </c>
      <c r="H54" s="1">
        <f t="shared" si="4"/>
        <v>12</v>
      </c>
      <c r="I54" s="14">
        <v>12</v>
      </c>
      <c r="J54" s="6">
        <v>0</v>
      </c>
      <c r="K54" s="6">
        <f t="shared" si="5"/>
        <v>12</v>
      </c>
      <c r="L54" s="14">
        <f t="shared" si="6"/>
        <v>100</v>
      </c>
      <c r="M54" s="14">
        <f t="shared" si="7"/>
        <v>5088</v>
      </c>
      <c r="N54" s="6" t="s">
        <v>69</v>
      </c>
      <c r="O54" s="6" t="s">
        <v>69</v>
      </c>
    </row>
    <row r="55" spans="1:15" x14ac:dyDescent="0.2">
      <c r="A55" s="81"/>
      <c r="B55" s="9">
        <v>14</v>
      </c>
      <c r="C55" s="2" t="s">
        <v>84</v>
      </c>
      <c r="D55" s="10">
        <v>10284294</v>
      </c>
      <c r="E55" s="10">
        <v>112507008</v>
      </c>
      <c r="F55" s="1">
        <v>2761</v>
      </c>
      <c r="G55" s="1">
        <v>2</v>
      </c>
      <c r="H55" s="1">
        <f t="shared" si="4"/>
        <v>6</v>
      </c>
      <c r="I55" s="14">
        <v>6</v>
      </c>
      <c r="J55" s="6">
        <v>0</v>
      </c>
      <c r="K55" s="6">
        <f t="shared" si="5"/>
        <v>6</v>
      </c>
      <c r="L55" s="14">
        <f t="shared" si="6"/>
        <v>100</v>
      </c>
      <c r="M55" s="14">
        <f t="shared" si="7"/>
        <v>16566</v>
      </c>
      <c r="N55" s="6" t="s">
        <v>69</v>
      </c>
      <c r="O55" s="6" t="s">
        <v>69</v>
      </c>
    </row>
    <row r="56" spans="1:15" x14ac:dyDescent="0.2">
      <c r="A56" s="81"/>
      <c r="B56" s="9">
        <v>15</v>
      </c>
      <c r="C56" s="2" t="s">
        <v>85</v>
      </c>
      <c r="D56" s="10">
        <v>10284292</v>
      </c>
      <c r="E56" s="10">
        <v>112507018</v>
      </c>
      <c r="F56" s="1">
        <v>1707</v>
      </c>
      <c r="G56" s="1">
        <v>8</v>
      </c>
      <c r="H56" s="1">
        <f t="shared" si="4"/>
        <v>24</v>
      </c>
      <c r="I56" s="14">
        <v>24</v>
      </c>
      <c r="J56" s="6">
        <v>0</v>
      </c>
      <c r="K56" s="6">
        <f t="shared" si="5"/>
        <v>24</v>
      </c>
      <c r="L56" s="14">
        <f t="shared" si="6"/>
        <v>100</v>
      </c>
      <c r="M56" s="14">
        <f t="shared" si="7"/>
        <v>40968</v>
      </c>
      <c r="N56" s="6" t="s">
        <v>69</v>
      </c>
      <c r="O56" s="6" t="s">
        <v>69</v>
      </c>
    </row>
    <row r="57" spans="1:15" x14ac:dyDescent="0.2">
      <c r="A57" s="81"/>
      <c r="B57" s="9">
        <v>16</v>
      </c>
      <c r="C57" s="2" t="s">
        <v>86</v>
      </c>
      <c r="D57" s="10">
        <v>10284291</v>
      </c>
      <c r="E57" s="10">
        <v>112507011</v>
      </c>
      <c r="F57" s="1">
        <v>459</v>
      </c>
      <c r="G57" s="1">
        <v>1</v>
      </c>
      <c r="H57" s="1">
        <f t="shared" si="4"/>
        <v>3</v>
      </c>
      <c r="I57" s="14">
        <v>3</v>
      </c>
      <c r="J57" s="6">
        <v>0</v>
      </c>
      <c r="K57" s="6">
        <f t="shared" si="5"/>
        <v>3</v>
      </c>
      <c r="L57" s="14">
        <f t="shared" si="6"/>
        <v>100</v>
      </c>
      <c r="M57" s="14">
        <f t="shared" si="7"/>
        <v>1377</v>
      </c>
      <c r="N57" s="6" t="s">
        <v>69</v>
      </c>
      <c r="O57" s="6" t="s">
        <v>69</v>
      </c>
    </row>
    <row r="58" spans="1:15" x14ac:dyDescent="0.2">
      <c r="A58" s="81"/>
      <c r="B58" s="9">
        <v>17</v>
      </c>
      <c r="C58" s="2" t="s">
        <v>87</v>
      </c>
      <c r="D58" s="10">
        <v>10046047</v>
      </c>
      <c r="E58" s="10">
        <v>112052074</v>
      </c>
      <c r="F58" s="1">
        <v>0</v>
      </c>
      <c r="G58" s="1">
        <v>14</v>
      </c>
      <c r="H58" s="1">
        <f t="shared" si="4"/>
        <v>42</v>
      </c>
      <c r="I58" s="14">
        <v>42</v>
      </c>
      <c r="J58" s="6">
        <v>0</v>
      </c>
      <c r="K58" s="6">
        <f t="shared" si="5"/>
        <v>42</v>
      </c>
      <c r="L58" s="14">
        <f t="shared" si="6"/>
        <v>100</v>
      </c>
      <c r="M58" s="14">
        <f t="shared" si="7"/>
        <v>0</v>
      </c>
      <c r="N58" s="6" t="s">
        <v>69</v>
      </c>
      <c r="O58" s="6" t="s">
        <v>69</v>
      </c>
    </row>
    <row r="59" spans="1:15" x14ac:dyDescent="0.2">
      <c r="A59" s="81"/>
      <c r="B59" s="9">
        <v>18</v>
      </c>
      <c r="C59" s="2" t="s">
        <v>88</v>
      </c>
      <c r="D59" s="10">
        <v>10044594</v>
      </c>
      <c r="E59" s="10">
        <v>112507030</v>
      </c>
      <c r="F59" s="1">
        <v>0</v>
      </c>
      <c r="G59" s="1">
        <v>1</v>
      </c>
      <c r="H59" s="1">
        <f t="shared" si="4"/>
        <v>3</v>
      </c>
      <c r="I59" s="14">
        <v>3</v>
      </c>
      <c r="J59" s="6">
        <v>0</v>
      </c>
      <c r="K59" s="6">
        <f t="shared" si="5"/>
        <v>3</v>
      </c>
      <c r="L59" s="14">
        <f t="shared" si="6"/>
        <v>100</v>
      </c>
      <c r="M59" s="14">
        <f t="shared" si="7"/>
        <v>0</v>
      </c>
      <c r="N59" s="6" t="s">
        <v>69</v>
      </c>
      <c r="O59" s="6" t="s">
        <v>69</v>
      </c>
    </row>
    <row r="60" spans="1:15" x14ac:dyDescent="0.2">
      <c r="A60" s="81"/>
      <c r="B60" s="9">
        <v>19</v>
      </c>
      <c r="C60" s="2" t="s">
        <v>89</v>
      </c>
      <c r="D60" s="10">
        <v>10002365</v>
      </c>
      <c r="E60" s="10">
        <v>112507026</v>
      </c>
      <c r="F60" s="1">
        <v>0</v>
      </c>
      <c r="G60" s="1">
        <v>3</v>
      </c>
      <c r="H60" s="1">
        <f t="shared" si="4"/>
        <v>9</v>
      </c>
      <c r="I60" s="14">
        <v>9</v>
      </c>
      <c r="J60" s="6">
        <v>0</v>
      </c>
      <c r="K60" s="6">
        <f t="shared" si="5"/>
        <v>9</v>
      </c>
      <c r="L60" s="14">
        <f t="shared" si="6"/>
        <v>100</v>
      </c>
      <c r="M60" s="14">
        <f t="shared" si="7"/>
        <v>0</v>
      </c>
      <c r="N60" s="6" t="s">
        <v>69</v>
      </c>
      <c r="O60" s="6" t="s">
        <v>69</v>
      </c>
    </row>
    <row r="61" spans="1:15" x14ac:dyDescent="0.2">
      <c r="A61" s="81"/>
      <c r="B61" s="9">
        <v>20</v>
      </c>
      <c r="C61" s="2" t="s">
        <v>90</v>
      </c>
      <c r="D61" s="10">
        <v>10286931</v>
      </c>
      <c r="E61" s="10">
        <v>112507027</v>
      </c>
      <c r="F61" s="1">
        <v>0</v>
      </c>
      <c r="G61" s="1">
        <v>2</v>
      </c>
      <c r="H61" s="1">
        <f t="shared" si="4"/>
        <v>6</v>
      </c>
      <c r="I61" s="14">
        <v>6</v>
      </c>
      <c r="J61" s="6">
        <v>0</v>
      </c>
      <c r="K61" s="6">
        <f t="shared" si="5"/>
        <v>6</v>
      </c>
      <c r="L61" s="14">
        <f t="shared" si="6"/>
        <v>100</v>
      </c>
      <c r="M61" s="14">
        <f t="shared" si="7"/>
        <v>0</v>
      </c>
      <c r="N61" s="6" t="s">
        <v>69</v>
      </c>
      <c r="O61" s="6" t="s">
        <v>69</v>
      </c>
    </row>
    <row r="62" spans="1:15" x14ac:dyDescent="0.2">
      <c r="A62" s="81"/>
      <c r="B62" s="9">
        <v>21</v>
      </c>
      <c r="C62" s="2" t="s">
        <v>91</v>
      </c>
      <c r="D62" s="10">
        <v>10212595</v>
      </c>
      <c r="E62" s="10">
        <v>112507028</v>
      </c>
      <c r="F62" s="1">
        <v>0</v>
      </c>
      <c r="G62" s="1">
        <v>5</v>
      </c>
      <c r="H62" s="1">
        <f t="shared" si="4"/>
        <v>15</v>
      </c>
      <c r="I62" s="14">
        <v>15</v>
      </c>
      <c r="J62" s="6">
        <v>0</v>
      </c>
      <c r="K62" s="6">
        <f t="shared" si="5"/>
        <v>15</v>
      </c>
      <c r="L62" s="14">
        <f t="shared" si="6"/>
        <v>100</v>
      </c>
      <c r="M62" s="14">
        <f t="shared" si="7"/>
        <v>0</v>
      </c>
      <c r="N62" s="6" t="s">
        <v>69</v>
      </c>
      <c r="O62" s="6" t="s">
        <v>69</v>
      </c>
    </row>
    <row r="63" spans="1:15" x14ac:dyDescent="0.2">
      <c r="A63" s="81"/>
      <c r="B63" s="9">
        <v>22</v>
      </c>
      <c r="C63" s="3" t="s">
        <v>92</v>
      </c>
      <c r="D63" s="10">
        <v>10083660</v>
      </c>
      <c r="E63" s="10">
        <v>112507017</v>
      </c>
      <c r="F63" s="1">
        <v>0</v>
      </c>
      <c r="G63" s="1">
        <v>1</v>
      </c>
      <c r="H63" s="1">
        <f t="shared" si="4"/>
        <v>3</v>
      </c>
      <c r="I63" s="14">
        <v>3</v>
      </c>
      <c r="J63" s="6">
        <v>0</v>
      </c>
      <c r="K63" s="6">
        <f t="shared" si="5"/>
        <v>3</v>
      </c>
      <c r="L63" s="14">
        <f t="shared" si="6"/>
        <v>100</v>
      </c>
      <c r="M63" s="14">
        <f t="shared" si="7"/>
        <v>0</v>
      </c>
      <c r="N63" s="6" t="s">
        <v>69</v>
      </c>
      <c r="O63" s="6" t="s">
        <v>69</v>
      </c>
    </row>
    <row r="64" spans="1:15" ht="25.2" x14ac:dyDescent="0.2">
      <c r="A64" s="81"/>
      <c r="B64" s="9">
        <v>23</v>
      </c>
      <c r="C64" s="2" t="s">
        <v>93</v>
      </c>
      <c r="D64" s="10">
        <v>10324470</v>
      </c>
      <c r="E64" s="10">
        <v>112507005</v>
      </c>
      <c r="F64" s="1">
        <v>7398</v>
      </c>
      <c r="G64" s="1">
        <v>2</v>
      </c>
      <c r="H64" s="1">
        <f t="shared" si="4"/>
        <v>6</v>
      </c>
      <c r="I64" s="14">
        <v>6</v>
      </c>
      <c r="J64" s="6">
        <v>0</v>
      </c>
      <c r="K64" s="6">
        <f t="shared" si="5"/>
        <v>6</v>
      </c>
      <c r="L64" s="14">
        <f t="shared" si="6"/>
        <v>100</v>
      </c>
      <c r="M64" s="14">
        <f t="shared" si="7"/>
        <v>44388</v>
      </c>
      <c r="N64" s="6" t="s">
        <v>69</v>
      </c>
      <c r="O64" s="6" t="s">
        <v>69</v>
      </c>
    </row>
    <row r="65" spans="1:15" ht="25.2" x14ac:dyDescent="0.2">
      <c r="A65" s="81"/>
      <c r="B65" s="9">
        <v>24</v>
      </c>
      <c r="C65" s="2" t="s">
        <v>94</v>
      </c>
      <c r="D65" s="10">
        <v>10036865</v>
      </c>
      <c r="E65" s="10">
        <v>112507029</v>
      </c>
      <c r="F65" s="1">
        <v>0</v>
      </c>
      <c r="G65" s="1">
        <v>8</v>
      </c>
      <c r="H65" s="1">
        <f t="shared" si="4"/>
        <v>24</v>
      </c>
      <c r="I65" s="14">
        <v>24</v>
      </c>
      <c r="J65" s="6">
        <v>0</v>
      </c>
      <c r="K65" s="6">
        <f t="shared" si="5"/>
        <v>24</v>
      </c>
      <c r="L65" s="14">
        <f t="shared" si="6"/>
        <v>100</v>
      </c>
      <c r="M65" s="14">
        <f t="shared" si="7"/>
        <v>0</v>
      </c>
      <c r="N65" s="6" t="s">
        <v>69</v>
      </c>
      <c r="O65" s="6" t="s">
        <v>69</v>
      </c>
    </row>
    <row r="66" spans="1:15" ht="25.2" x14ac:dyDescent="0.2">
      <c r="A66" s="81"/>
      <c r="B66" s="9">
        <v>25</v>
      </c>
      <c r="C66" s="2" t="s">
        <v>95</v>
      </c>
      <c r="D66" s="10">
        <v>10037195</v>
      </c>
      <c r="E66" s="10">
        <v>112507016</v>
      </c>
      <c r="F66" s="1">
        <v>0</v>
      </c>
      <c r="G66" s="1">
        <v>2</v>
      </c>
      <c r="H66" s="1">
        <f t="shared" si="4"/>
        <v>6</v>
      </c>
      <c r="I66" s="14">
        <v>6</v>
      </c>
      <c r="J66" s="6">
        <v>0</v>
      </c>
      <c r="K66" s="6">
        <f t="shared" si="5"/>
        <v>6</v>
      </c>
      <c r="L66" s="14">
        <f t="shared" si="6"/>
        <v>100</v>
      </c>
      <c r="M66" s="14">
        <f t="shared" si="7"/>
        <v>0</v>
      </c>
      <c r="N66" s="6" t="s">
        <v>69</v>
      </c>
      <c r="O66" s="6" t="s">
        <v>69</v>
      </c>
    </row>
    <row r="67" spans="1:15" x14ac:dyDescent="0.2">
      <c r="A67" s="81"/>
      <c r="B67" s="9">
        <v>26</v>
      </c>
      <c r="C67" s="2" t="s">
        <v>96</v>
      </c>
      <c r="D67" s="10">
        <v>10037197</v>
      </c>
      <c r="E67" s="10">
        <v>112507015</v>
      </c>
      <c r="F67" s="1">
        <v>0</v>
      </c>
      <c r="G67" s="1">
        <v>2</v>
      </c>
      <c r="H67" s="1">
        <f t="shared" si="4"/>
        <v>6</v>
      </c>
      <c r="I67" s="14">
        <v>6</v>
      </c>
      <c r="J67" s="6">
        <v>0</v>
      </c>
      <c r="K67" s="6">
        <f t="shared" si="5"/>
        <v>6</v>
      </c>
      <c r="L67" s="14">
        <f t="shared" si="6"/>
        <v>100</v>
      </c>
      <c r="M67" s="14">
        <f t="shared" si="7"/>
        <v>0</v>
      </c>
      <c r="N67" s="6" t="s">
        <v>69</v>
      </c>
      <c r="O67" s="6" t="s">
        <v>69</v>
      </c>
    </row>
    <row r="68" spans="1:15" x14ac:dyDescent="0.2">
      <c r="A68" s="81"/>
      <c r="B68" s="9">
        <v>27</v>
      </c>
      <c r="C68" s="2" t="s">
        <v>97</v>
      </c>
      <c r="D68" s="10">
        <v>10021570</v>
      </c>
      <c r="E68" s="10">
        <v>112507014</v>
      </c>
      <c r="F68" s="1">
        <v>0</v>
      </c>
      <c r="G68" s="1">
        <v>2</v>
      </c>
      <c r="H68" s="1">
        <f t="shared" si="4"/>
        <v>6</v>
      </c>
      <c r="I68" s="14">
        <v>6</v>
      </c>
      <c r="J68" s="6">
        <v>0</v>
      </c>
      <c r="K68" s="6">
        <f t="shared" si="5"/>
        <v>6</v>
      </c>
      <c r="L68" s="14">
        <f t="shared" si="6"/>
        <v>100</v>
      </c>
      <c r="M68" s="14">
        <f t="shared" si="7"/>
        <v>0</v>
      </c>
      <c r="N68" s="6" t="s">
        <v>69</v>
      </c>
      <c r="O68" s="6" t="s">
        <v>69</v>
      </c>
    </row>
    <row r="69" spans="1:15" ht="25.2" x14ac:dyDescent="0.2">
      <c r="A69" s="81"/>
      <c r="B69" s="9">
        <v>28</v>
      </c>
      <c r="C69" s="2" t="s">
        <v>98</v>
      </c>
      <c r="D69" s="10">
        <v>10043591</v>
      </c>
      <c r="E69" s="10">
        <v>112507303</v>
      </c>
      <c r="F69" s="1">
        <v>0</v>
      </c>
      <c r="G69" s="1">
        <v>8</v>
      </c>
      <c r="H69" s="1">
        <f t="shared" si="4"/>
        <v>24</v>
      </c>
      <c r="I69" s="14">
        <v>24</v>
      </c>
      <c r="J69" s="6">
        <v>0</v>
      </c>
      <c r="K69" s="6">
        <f t="shared" si="5"/>
        <v>24</v>
      </c>
      <c r="L69" s="14">
        <f t="shared" si="6"/>
        <v>100</v>
      </c>
      <c r="M69" s="14">
        <f t="shared" si="7"/>
        <v>0</v>
      </c>
      <c r="N69" s="6" t="s">
        <v>69</v>
      </c>
      <c r="O69" s="6" t="s">
        <v>69</v>
      </c>
    </row>
    <row r="70" spans="1:15" x14ac:dyDescent="0.2">
      <c r="A70" s="81"/>
      <c r="B70" s="9">
        <v>29</v>
      </c>
      <c r="C70" s="2" t="s">
        <v>99</v>
      </c>
      <c r="D70" s="10">
        <v>10043563</v>
      </c>
      <c r="E70" s="10">
        <v>112506999</v>
      </c>
      <c r="F70" s="1">
        <v>0</v>
      </c>
      <c r="G70" s="1">
        <v>1</v>
      </c>
      <c r="H70" s="1">
        <f t="shared" si="4"/>
        <v>3</v>
      </c>
      <c r="I70" s="14">
        <v>3</v>
      </c>
      <c r="J70" s="6">
        <v>0</v>
      </c>
      <c r="K70" s="6">
        <f t="shared" si="5"/>
        <v>3</v>
      </c>
      <c r="L70" s="14">
        <f t="shared" si="6"/>
        <v>100</v>
      </c>
      <c r="M70" s="14">
        <f t="shared" si="7"/>
        <v>0</v>
      </c>
      <c r="N70" s="6" t="s">
        <v>69</v>
      </c>
      <c r="O70" s="6" t="s">
        <v>69</v>
      </c>
    </row>
    <row r="71" spans="1:15" ht="25.2" x14ac:dyDescent="0.2">
      <c r="A71" s="81"/>
      <c r="B71" s="9">
        <v>30</v>
      </c>
      <c r="C71" s="2" t="s">
        <v>100</v>
      </c>
      <c r="D71" s="10">
        <v>10036815</v>
      </c>
      <c r="E71" s="10">
        <v>112507013</v>
      </c>
      <c r="F71" s="1">
        <v>0</v>
      </c>
      <c r="G71" s="1">
        <v>3</v>
      </c>
      <c r="H71" s="1">
        <f t="shared" si="4"/>
        <v>9</v>
      </c>
      <c r="I71" s="14">
        <v>9</v>
      </c>
      <c r="J71" s="6">
        <v>0</v>
      </c>
      <c r="K71" s="6">
        <f t="shared" si="5"/>
        <v>9</v>
      </c>
      <c r="L71" s="14">
        <f t="shared" si="6"/>
        <v>100</v>
      </c>
      <c r="M71" s="14">
        <f t="shared" si="7"/>
        <v>0</v>
      </c>
      <c r="N71" s="6" t="s">
        <v>69</v>
      </c>
      <c r="O71" s="6" t="s">
        <v>69</v>
      </c>
    </row>
    <row r="72" spans="1:15" x14ac:dyDescent="0.2">
      <c r="A72" s="81"/>
      <c r="B72" s="9">
        <v>31</v>
      </c>
      <c r="C72" s="2" t="s">
        <v>101</v>
      </c>
      <c r="D72" s="10" t="s">
        <v>110</v>
      </c>
      <c r="E72" s="10">
        <v>112507003</v>
      </c>
      <c r="F72" s="9">
        <v>30705</v>
      </c>
      <c r="G72" s="9">
        <v>2</v>
      </c>
      <c r="H72" s="1">
        <f t="shared" si="4"/>
        <v>6</v>
      </c>
      <c r="I72" s="14">
        <v>6</v>
      </c>
      <c r="J72" s="6">
        <v>0</v>
      </c>
      <c r="K72" s="6">
        <f t="shared" si="5"/>
        <v>6</v>
      </c>
      <c r="L72" s="14">
        <f t="shared" si="6"/>
        <v>100</v>
      </c>
      <c r="M72" s="14">
        <f t="shared" si="7"/>
        <v>184230</v>
      </c>
      <c r="N72" s="6" t="s">
        <v>69</v>
      </c>
      <c r="O72" s="6" t="s">
        <v>69</v>
      </c>
    </row>
    <row r="73" spans="1:15" x14ac:dyDescent="0.2">
      <c r="A73" s="81"/>
      <c r="B73" s="9">
        <v>32</v>
      </c>
      <c r="C73" s="2" t="s">
        <v>102</v>
      </c>
      <c r="D73" s="10" t="s">
        <v>111</v>
      </c>
      <c r="E73" s="10">
        <v>112507128</v>
      </c>
      <c r="F73" s="9">
        <v>0</v>
      </c>
      <c r="G73" s="9">
        <v>2</v>
      </c>
      <c r="H73" s="1">
        <f t="shared" si="4"/>
        <v>6</v>
      </c>
      <c r="I73" s="14">
        <v>6</v>
      </c>
      <c r="J73" s="6">
        <v>0</v>
      </c>
      <c r="K73" s="6">
        <f t="shared" si="5"/>
        <v>6</v>
      </c>
      <c r="L73" s="14">
        <f t="shared" si="6"/>
        <v>100</v>
      </c>
      <c r="M73" s="14">
        <f t="shared" si="7"/>
        <v>0</v>
      </c>
      <c r="N73" s="6" t="s">
        <v>69</v>
      </c>
      <c r="O73" s="6" t="s">
        <v>69</v>
      </c>
    </row>
    <row r="74" spans="1:15" x14ac:dyDescent="0.2">
      <c r="A74" s="81"/>
      <c r="B74" s="9">
        <v>33</v>
      </c>
      <c r="C74" s="2" t="s">
        <v>103</v>
      </c>
      <c r="D74" s="10">
        <v>10373806</v>
      </c>
      <c r="E74" s="10">
        <v>112507002</v>
      </c>
      <c r="F74" s="9">
        <v>4417</v>
      </c>
      <c r="G74" s="9">
        <v>1</v>
      </c>
      <c r="H74" s="1">
        <f t="shared" si="4"/>
        <v>3</v>
      </c>
      <c r="I74" s="14">
        <v>3</v>
      </c>
      <c r="J74" s="6">
        <v>0</v>
      </c>
      <c r="K74" s="6">
        <f t="shared" si="5"/>
        <v>3</v>
      </c>
      <c r="L74" s="14">
        <f t="shared" si="6"/>
        <v>100</v>
      </c>
      <c r="M74" s="14">
        <f t="shared" si="7"/>
        <v>13251</v>
      </c>
      <c r="N74" s="6" t="s">
        <v>69</v>
      </c>
      <c r="O74" s="6" t="s">
        <v>69</v>
      </c>
    </row>
    <row r="75" spans="1:15" x14ac:dyDescent="0.2">
      <c r="A75" s="81"/>
      <c r="B75" s="9">
        <v>34</v>
      </c>
      <c r="C75" s="2" t="s">
        <v>104</v>
      </c>
      <c r="D75" s="10">
        <v>10380093</v>
      </c>
      <c r="E75" s="10">
        <v>112507000</v>
      </c>
      <c r="F75" s="9">
        <v>4200</v>
      </c>
      <c r="G75" s="9">
        <v>1</v>
      </c>
      <c r="H75" s="1">
        <f t="shared" si="4"/>
        <v>3</v>
      </c>
      <c r="I75" s="14">
        <v>3</v>
      </c>
      <c r="J75" s="6">
        <v>0</v>
      </c>
      <c r="K75" s="6">
        <f t="shared" si="5"/>
        <v>3</v>
      </c>
      <c r="L75" s="14">
        <f t="shared" si="6"/>
        <v>100</v>
      </c>
      <c r="M75" s="14">
        <f t="shared" si="7"/>
        <v>12600</v>
      </c>
      <c r="N75" s="6" t="s">
        <v>69</v>
      </c>
      <c r="O75" s="6" t="s">
        <v>69</v>
      </c>
    </row>
    <row r="76" spans="1:15" ht="25.2" x14ac:dyDescent="0.2">
      <c r="A76" s="81"/>
      <c r="B76" s="9">
        <v>35</v>
      </c>
      <c r="C76" s="2" t="s">
        <v>105</v>
      </c>
      <c r="D76" s="10" t="s">
        <v>112</v>
      </c>
      <c r="E76" s="10">
        <v>135008051</v>
      </c>
      <c r="F76" s="9">
        <v>11825</v>
      </c>
      <c r="G76" s="9">
        <v>2</v>
      </c>
      <c r="H76" s="1">
        <f t="shared" si="4"/>
        <v>6</v>
      </c>
      <c r="I76" s="14">
        <v>6</v>
      </c>
      <c r="J76" s="6">
        <v>0</v>
      </c>
      <c r="K76" s="6">
        <f t="shared" si="5"/>
        <v>6</v>
      </c>
      <c r="L76" s="14">
        <f t="shared" si="6"/>
        <v>100</v>
      </c>
      <c r="M76" s="14">
        <f t="shared" si="7"/>
        <v>70950</v>
      </c>
      <c r="N76" s="6" t="s">
        <v>69</v>
      </c>
      <c r="O76" s="6" t="s">
        <v>69</v>
      </c>
    </row>
    <row r="77" spans="1:15" x14ac:dyDescent="0.2">
      <c r="A77" s="81"/>
      <c r="B77" s="9">
        <v>36</v>
      </c>
      <c r="C77" s="2" t="s">
        <v>106</v>
      </c>
      <c r="D77" s="10" t="s">
        <v>113</v>
      </c>
      <c r="E77" s="10">
        <v>135008075</v>
      </c>
      <c r="F77" s="9">
        <v>13000</v>
      </c>
      <c r="G77" s="9">
        <v>2</v>
      </c>
      <c r="H77" s="1">
        <f t="shared" si="4"/>
        <v>6</v>
      </c>
      <c r="I77" s="14">
        <v>6</v>
      </c>
      <c r="J77" s="6">
        <v>0</v>
      </c>
      <c r="K77" s="6">
        <f t="shared" si="5"/>
        <v>6</v>
      </c>
      <c r="L77" s="14">
        <f t="shared" si="6"/>
        <v>100</v>
      </c>
      <c r="M77" s="14">
        <f t="shared" si="7"/>
        <v>78000</v>
      </c>
      <c r="N77" s="6" t="s">
        <v>69</v>
      </c>
      <c r="O77" s="6" t="s">
        <v>69</v>
      </c>
    </row>
    <row r="78" spans="1:15" ht="25.2" x14ac:dyDescent="0.2">
      <c r="A78" s="81"/>
      <c r="B78" s="9">
        <v>37</v>
      </c>
      <c r="C78" s="2" t="s">
        <v>107</v>
      </c>
      <c r="D78" s="10" t="s">
        <v>114</v>
      </c>
      <c r="E78" s="10">
        <v>135008052</v>
      </c>
      <c r="F78" s="9">
        <v>4350</v>
      </c>
      <c r="G78" s="9">
        <v>2</v>
      </c>
      <c r="H78" s="1">
        <f t="shared" si="4"/>
        <v>6</v>
      </c>
      <c r="I78" s="14">
        <v>6</v>
      </c>
      <c r="J78" s="6">
        <v>0</v>
      </c>
      <c r="K78" s="6">
        <f t="shared" si="5"/>
        <v>6</v>
      </c>
      <c r="L78" s="14">
        <f t="shared" si="6"/>
        <v>100</v>
      </c>
      <c r="M78" s="14">
        <f t="shared" si="7"/>
        <v>26100</v>
      </c>
      <c r="N78" s="6" t="s">
        <v>69</v>
      </c>
      <c r="O78" s="6" t="s">
        <v>69</v>
      </c>
    </row>
    <row r="79" spans="1:15" x14ac:dyDescent="0.2">
      <c r="A79" s="82"/>
      <c r="B79" s="9">
        <v>38</v>
      </c>
      <c r="C79" s="2" t="s">
        <v>108</v>
      </c>
      <c r="D79" s="10">
        <v>10283012</v>
      </c>
      <c r="E79" s="10">
        <v>112507012</v>
      </c>
      <c r="F79" s="9">
        <v>0</v>
      </c>
      <c r="G79" s="9">
        <v>1</v>
      </c>
      <c r="H79" s="1">
        <f t="shared" si="4"/>
        <v>3</v>
      </c>
      <c r="I79" s="14">
        <v>3</v>
      </c>
      <c r="J79" s="6">
        <v>0</v>
      </c>
      <c r="K79" s="6">
        <f t="shared" si="5"/>
        <v>3</v>
      </c>
      <c r="L79" s="14">
        <f t="shared" si="6"/>
        <v>100</v>
      </c>
      <c r="M79" s="14">
        <f t="shared" si="7"/>
        <v>0</v>
      </c>
      <c r="N79" s="6" t="s">
        <v>69</v>
      </c>
      <c r="O79" s="6" t="s">
        <v>69</v>
      </c>
    </row>
    <row r="80" spans="1:15" x14ac:dyDescent="0.2">
      <c r="B80" s="9"/>
      <c r="C80" s="2"/>
      <c r="D80" s="2"/>
      <c r="E80" s="1"/>
      <c r="F80" s="1"/>
      <c r="G80" s="9"/>
      <c r="H80" s="9"/>
    </row>
    <row r="81" spans="1:15" ht="12.6" customHeight="1" x14ac:dyDescent="0.2">
      <c r="A81" s="80" t="s">
        <v>116</v>
      </c>
      <c r="B81" s="66" t="s">
        <v>1</v>
      </c>
      <c r="C81" s="66" t="s">
        <v>0</v>
      </c>
      <c r="D81" s="66" t="s">
        <v>2</v>
      </c>
      <c r="E81" s="70" t="s">
        <v>3</v>
      </c>
      <c r="F81" s="70" t="s">
        <v>66</v>
      </c>
      <c r="G81" s="66" t="s">
        <v>4</v>
      </c>
      <c r="H81" s="78" t="s">
        <v>269</v>
      </c>
      <c r="I81" s="66" t="s">
        <v>250</v>
      </c>
      <c r="J81" s="66" t="s">
        <v>61</v>
      </c>
      <c r="K81" s="66" t="s">
        <v>62</v>
      </c>
      <c r="L81" s="78" t="s">
        <v>68</v>
      </c>
      <c r="M81" s="78" t="s">
        <v>65</v>
      </c>
      <c r="N81" s="66" t="s">
        <v>267</v>
      </c>
      <c r="O81" s="66" t="s">
        <v>230</v>
      </c>
    </row>
    <row r="82" spans="1:15" ht="44.4" customHeight="1" x14ac:dyDescent="0.2">
      <c r="A82" s="81"/>
      <c r="B82" s="66"/>
      <c r="C82" s="66"/>
      <c r="D82" s="66"/>
      <c r="E82" s="70"/>
      <c r="F82" s="70"/>
      <c r="G82" s="66"/>
      <c r="H82" s="77"/>
      <c r="I82" s="66"/>
      <c r="J82" s="66"/>
      <c r="K82" s="66"/>
      <c r="L82" s="77"/>
      <c r="M82" s="77"/>
      <c r="N82" s="66"/>
      <c r="O82" s="66"/>
    </row>
    <row r="83" spans="1:15" x14ac:dyDescent="0.2">
      <c r="A83" s="81"/>
      <c r="B83" s="9">
        <v>1</v>
      </c>
      <c r="C83" s="16" t="s">
        <v>72</v>
      </c>
      <c r="D83" s="18">
        <v>10284297</v>
      </c>
      <c r="E83" s="19">
        <v>112507087</v>
      </c>
      <c r="F83" s="19">
        <v>28518</v>
      </c>
      <c r="G83" s="19">
        <v>1</v>
      </c>
      <c r="H83" s="9">
        <f>I83</f>
        <v>6</v>
      </c>
      <c r="I83" s="9">
        <v>6</v>
      </c>
      <c r="J83" s="6">
        <v>0</v>
      </c>
      <c r="K83" s="6">
        <f>I83-J83</f>
        <v>6</v>
      </c>
      <c r="L83" s="14">
        <f>K83/I83*100</f>
        <v>100</v>
      </c>
      <c r="M83" s="14">
        <f>K83*F83</f>
        <v>171108</v>
      </c>
      <c r="N83" s="6" t="s">
        <v>69</v>
      </c>
      <c r="O83" s="6" t="s">
        <v>69</v>
      </c>
    </row>
    <row r="84" spans="1:15" x14ac:dyDescent="0.2">
      <c r="A84" s="81"/>
      <c r="B84" s="9">
        <v>2</v>
      </c>
      <c r="C84" s="16" t="s">
        <v>73</v>
      </c>
      <c r="D84" s="18">
        <v>10284299</v>
      </c>
      <c r="E84" s="19">
        <v>112507086</v>
      </c>
      <c r="F84" s="19">
        <v>22916</v>
      </c>
      <c r="G84" s="19">
        <v>1</v>
      </c>
      <c r="H84" s="9">
        <f t="shared" ref="H84:H121" si="8">I84</f>
        <v>6</v>
      </c>
      <c r="I84" s="9">
        <v>6</v>
      </c>
      <c r="J84" s="6">
        <v>0</v>
      </c>
      <c r="K84" s="6">
        <f t="shared" ref="K84:K121" si="9">I84-J84</f>
        <v>6</v>
      </c>
      <c r="L84" s="14">
        <f t="shared" ref="L84:L121" si="10">K84/I84*100</f>
        <v>100</v>
      </c>
      <c r="M84" s="14">
        <f t="shared" ref="M84:M121" si="11">K84*F84</f>
        <v>137496</v>
      </c>
      <c r="N84" s="6" t="s">
        <v>69</v>
      </c>
      <c r="O84" s="6" t="s">
        <v>69</v>
      </c>
    </row>
    <row r="85" spans="1:15" x14ac:dyDescent="0.2">
      <c r="A85" s="81"/>
      <c r="B85" s="9">
        <v>3</v>
      </c>
      <c r="C85" s="16" t="s">
        <v>74</v>
      </c>
      <c r="D85" s="18">
        <v>10284301</v>
      </c>
      <c r="E85" s="19">
        <v>112052070</v>
      </c>
      <c r="F85" s="19">
        <v>11963</v>
      </c>
      <c r="G85" s="19">
        <v>2</v>
      </c>
      <c r="H85" s="9">
        <f t="shared" si="8"/>
        <v>12</v>
      </c>
      <c r="I85" s="9">
        <v>12</v>
      </c>
      <c r="J85" s="6">
        <v>0</v>
      </c>
      <c r="K85" s="6">
        <f t="shared" si="9"/>
        <v>12</v>
      </c>
      <c r="L85" s="14">
        <f t="shared" si="10"/>
        <v>100</v>
      </c>
      <c r="M85" s="14">
        <f t="shared" si="11"/>
        <v>143556</v>
      </c>
      <c r="N85" s="6" t="s">
        <v>69</v>
      </c>
      <c r="O85" s="6" t="s">
        <v>69</v>
      </c>
    </row>
    <row r="86" spans="1:15" x14ac:dyDescent="0.2">
      <c r="A86" s="81"/>
      <c r="B86" s="9">
        <v>4</v>
      </c>
      <c r="C86" s="16" t="s">
        <v>75</v>
      </c>
      <c r="D86" s="18">
        <v>10284951</v>
      </c>
      <c r="E86" s="19">
        <v>112052071</v>
      </c>
      <c r="F86" s="19">
        <v>518</v>
      </c>
      <c r="G86" s="19">
        <v>2</v>
      </c>
      <c r="H86" s="9">
        <f t="shared" si="8"/>
        <v>12</v>
      </c>
      <c r="I86" s="9">
        <v>12</v>
      </c>
      <c r="J86" s="6">
        <v>0</v>
      </c>
      <c r="K86" s="6">
        <f t="shared" si="9"/>
        <v>12</v>
      </c>
      <c r="L86" s="14">
        <f t="shared" si="10"/>
        <v>100</v>
      </c>
      <c r="M86" s="14">
        <f t="shared" si="11"/>
        <v>6216</v>
      </c>
      <c r="N86" s="6" t="s">
        <v>69</v>
      </c>
      <c r="O86" s="6" t="s">
        <v>69</v>
      </c>
    </row>
    <row r="87" spans="1:15" x14ac:dyDescent="0.2">
      <c r="A87" s="81"/>
      <c r="B87" s="9">
        <v>5</v>
      </c>
      <c r="C87" s="16" t="s">
        <v>76</v>
      </c>
      <c r="D87" s="18">
        <v>10284302</v>
      </c>
      <c r="E87" s="19">
        <v>112052076</v>
      </c>
      <c r="F87" s="19">
        <v>905</v>
      </c>
      <c r="G87" s="19">
        <v>1</v>
      </c>
      <c r="H87" s="9">
        <f t="shared" si="8"/>
        <v>6</v>
      </c>
      <c r="I87" s="9">
        <v>6</v>
      </c>
      <c r="J87" s="6">
        <v>0</v>
      </c>
      <c r="K87" s="6">
        <f t="shared" si="9"/>
        <v>6</v>
      </c>
      <c r="L87" s="14">
        <f t="shared" si="10"/>
        <v>100</v>
      </c>
      <c r="M87" s="14">
        <f t="shared" si="11"/>
        <v>5430</v>
      </c>
      <c r="N87" s="6" t="s">
        <v>69</v>
      </c>
      <c r="O87" s="6" t="s">
        <v>69</v>
      </c>
    </row>
    <row r="88" spans="1:15" x14ac:dyDescent="0.2">
      <c r="A88" s="81"/>
      <c r="B88" s="9">
        <v>6</v>
      </c>
      <c r="C88" s="16" t="s">
        <v>77</v>
      </c>
      <c r="D88" s="18" t="s">
        <v>136</v>
      </c>
      <c r="E88" s="19">
        <v>112507085</v>
      </c>
      <c r="F88" s="19">
        <v>424</v>
      </c>
      <c r="G88" s="19">
        <v>2</v>
      </c>
      <c r="H88" s="9">
        <f t="shared" si="8"/>
        <v>12</v>
      </c>
      <c r="I88" s="9">
        <v>12</v>
      </c>
      <c r="J88" s="6">
        <v>0</v>
      </c>
      <c r="K88" s="6">
        <f t="shared" si="9"/>
        <v>12</v>
      </c>
      <c r="L88" s="14">
        <f t="shared" si="10"/>
        <v>100</v>
      </c>
      <c r="M88" s="14">
        <f t="shared" si="11"/>
        <v>5088</v>
      </c>
      <c r="N88" s="6" t="s">
        <v>69</v>
      </c>
      <c r="O88" s="6" t="s">
        <v>69</v>
      </c>
    </row>
    <row r="89" spans="1:15" x14ac:dyDescent="0.2">
      <c r="A89" s="81"/>
      <c r="B89" s="9">
        <v>7</v>
      </c>
      <c r="C89" s="16" t="s">
        <v>78</v>
      </c>
      <c r="D89" s="18">
        <v>10284303</v>
      </c>
      <c r="E89" s="19">
        <v>112052077</v>
      </c>
      <c r="F89" s="19">
        <v>855</v>
      </c>
      <c r="G89" s="19">
        <v>1</v>
      </c>
      <c r="H89" s="9">
        <f t="shared" si="8"/>
        <v>6</v>
      </c>
      <c r="I89" s="9">
        <v>6</v>
      </c>
      <c r="J89" s="6">
        <v>0</v>
      </c>
      <c r="K89" s="6">
        <f t="shared" si="9"/>
        <v>6</v>
      </c>
      <c r="L89" s="14">
        <f t="shared" si="10"/>
        <v>100</v>
      </c>
      <c r="M89" s="14">
        <f t="shared" si="11"/>
        <v>5130</v>
      </c>
      <c r="N89" s="6" t="s">
        <v>69</v>
      </c>
      <c r="O89" s="6" t="s">
        <v>69</v>
      </c>
    </row>
    <row r="90" spans="1:15" x14ac:dyDescent="0.2">
      <c r="A90" s="81"/>
      <c r="B90" s="9">
        <v>8</v>
      </c>
      <c r="C90" s="16" t="s">
        <v>79</v>
      </c>
      <c r="D90" s="18">
        <v>10284953</v>
      </c>
      <c r="E90" s="19">
        <v>112052069</v>
      </c>
      <c r="F90" s="19">
        <v>1518</v>
      </c>
      <c r="G90" s="19">
        <v>2</v>
      </c>
      <c r="H90" s="9">
        <f t="shared" si="8"/>
        <v>12</v>
      </c>
      <c r="I90" s="9">
        <v>12</v>
      </c>
      <c r="J90" s="6">
        <v>0</v>
      </c>
      <c r="K90" s="6">
        <f t="shared" si="9"/>
        <v>12</v>
      </c>
      <c r="L90" s="14">
        <f t="shared" si="10"/>
        <v>100</v>
      </c>
      <c r="M90" s="14">
        <f t="shared" si="11"/>
        <v>18216</v>
      </c>
      <c r="N90" s="6" t="s">
        <v>69</v>
      </c>
      <c r="O90" s="6" t="s">
        <v>69</v>
      </c>
    </row>
    <row r="91" spans="1:15" x14ac:dyDescent="0.2">
      <c r="A91" s="81"/>
      <c r="B91" s="9">
        <v>9</v>
      </c>
      <c r="C91" s="16" t="s">
        <v>117</v>
      </c>
      <c r="D91" s="18">
        <v>10284304</v>
      </c>
      <c r="E91" s="19">
        <v>112507084</v>
      </c>
      <c r="F91" s="19">
        <v>424</v>
      </c>
      <c r="G91" s="19">
        <v>1</v>
      </c>
      <c r="H91" s="9">
        <f t="shared" si="8"/>
        <v>6</v>
      </c>
      <c r="I91" s="9">
        <v>6</v>
      </c>
      <c r="J91" s="6">
        <v>0</v>
      </c>
      <c r="K91" s="6">
        <f t="shared" si="9"/>
        <v>6</v>
      </c>
      <c r="L91" s="14">
        <f t="shared" si="10"/>
        <v>100</v>
      </c>
      <c r="M91" s="14">
        <f t="shared" si="11"/>
        <v>2544</v>
      </c>
      <c r="N91" s="6" t="s">
        <v>69</v>
      </c>
      <c r="O91" s="6" t="s">
        <v>69</v>
      </c>
    </row>
    <row r="92" spans="1:15" x14ac:dyDescent="0.2">
      <c r="A92" s="81"/>
      <c r="B92" s="9">
        <v>10</v>
      </c>
      <c r="C92" s="16" t="s">
        <v>118</v>
      </c>
      <c r="D92" s="18">
        <v>10284950</v>
      </c>
      <c r="E92" s="19">
        <v>112052068</v>
      </c>
      <c r="F92" s="19">
        <v>431</v>
      </c>
      <c r="G92" s="19">
        <v>1</v>
      </c>
      <c r="H92" s="9">
        <f t="shared" si="8"/>
        <v>6</v>
      </c>
      <c r="I92" s="9">
        <v>6</v>
      </c>
      <c r="J92" s="6">
        <v>0</v>
      </c>
      <c r="K92" s="6">
        <f t="shared" si="9"/>
        <v>6</v>
      </c>
      <c r="L92" s="14">
        <f t="shared" si="10"/>
        <v>100</v>
      </c>
      <c r="M92" s="14">
        <f t="shared" si="11"/>
        <v>2586</v>
      </c>
      <c r="N92" s="6" t="s">
        <v>69</v>
      </c>
      <c r="O92" s="6" t="s">
        <v>69</v>
      </c>
    </row>
    <row r="93" spans="1:15" x14ac:dyDescent="0.2">
      <c r="A93" s="81"/>
      <c r="B93" s="9">
        <v>11</v>
      </c>
      <c r="C93" s="16" t="s">
        <v>119</v>
      </c>
      <c r="D93" s="18">
        <v>10284959</v>
      </c>
      <c r="E93" s="19">
        <v>112507083</v>
      </c>
      <c r="F93" s="19">
        <v>763</v>
      </c>
      <c r="G93" s="19">
        <v>1</v>
      </c>
      <c r="H93" s="9">
        <f t="shared" si="8"/>
        <v>6</v>
      </c>
      <c r="I93" s="9">
        <v>6</v>
      </c>
      <c r="J93" s="6">
        <v>0</v>
      </c>
      <c r="K93" s="6">
        <f t="shared" si="9"/>
        <v>6</v>
      </c>
      <c r="L93" s="14">
        <f t="shared" si="10"/>
        <v>100</v>
      </c>
      <c r="M93" s="14">
        <f t="shared" si="11"/>
        <v>4578</v>
      </c>
      <c r="N93" s="6" t="s">
        <v>69</v>
      </c>
      <c r="O93" s="6" t="s">
        <v>69</v>
      </c>
    </row>
    <row r="94" spans="1:15" x14ac:dyDescent="0.2">
      <c r="A94" s="81"/>
      <c r="B94" s="9">
        <v>12</v>
      </c>
      <c r="C94" s="16" t="s">
        <v>82</v>
      </c>
      <c r="D94" s="18">
        <v>10284952</v>
      </c>
      <c r="E94" s="19">
        <v>112052072</v>
      </c>
      <c r="F94" s="19">
        <v>3864</v>
      </c>
      <c r="G94" s="19">
        <v>2</v>
      </c>
      <c r="H94" s="9">
        <f t="shared" si="8"/>
        <v>12</v>
      </c>
      <c r="I94" s="9">
        <v>12</v>
      </c>
      <c r="J94" s="6">
        <v>0</v>
      </c>
      <c r="K94" s="6">
        <f t="shared" si="9"/>
        <v>12</v>
      </c>
      <c r="L94" s="14">
        <f t="shared" si="10"/>
        <v>100</v>
      </c>
      <c r="M94" s="14">
        <f t="shared" si="11"/>
        <v>46368</v>
      </c>
      <c r="N94" s="6" t="s">
        <v>69</v>
      </c>
      <c r="O94" s="6" t="s">
        <v>69</v>
      </c>
    </row>
    <row r="95" spans="1:15" x14ac:dyDescent="0.2">
      <c r="A95" s="81"/>
      <c r="B95" s="9">
        <v>13</v>
      </c>
      <c r="C95" s="16" t="s">
        <v>120</v>
      </c>
      <c r="D95" s="18">
        <v>10284954</v>
      </c>
      <c r="E95" s="19">
        <v>102070080</v>
      </c>
      <c r="F95" s="19">
        <v>884</v>
      </c>
      <c r="G95" s="19">
        <v>4</v>
      </c>
      <c r="H95" s="9">
        <f t="shared" si="8"/>
        <v>24</v>
      </c>
      <c r="I95" s="9">
        <v>24</v>
      </c>
      <c r="J95" s="6">
        <v>0</v>
      </c>
      <c r="K95" s="6">
        <f t="shared" si="9"/>
        <v>24</v>
      </c>
      <c r="L95" s="14">
        <f t="shared" si="10"/>
        <v>100</v>
      </c>
      <c r="M95" s="14">
        <f t="shared" si="11"/>
        <v>21216</v>
      </c>
      <c r="N95" s="6" t="s">
        <v>69</v>
      </c>
      <c r="O95" s="6" t="s">
        <v>69</v>
      </c>
    </row>
    <row r="96" spans="1:15" x14ac:dyDescent="0.2">
      <c r="A96" s="81"/>
      <c r="B96" s="9">
        <v>14</v>
      </c>
      <c r="C96" s="16" t="s">
        <v>115</v>
      </c>
      <c r="D96" s="18">
        <v>10284955</v>
      </c>
      <c r="E96" s="19">
        <v>112507082</v>
      </c>
      <c r="F96" s="19">
        <v>280</v>
      </c>
      <c r="G96" s="19">
        <v>4</v>
      </c>
      <c r="H96" s="9">
        <f t="shared" si="8"/>
        <v>24</v>
      </c>
      <c r="I96" s="9">
        <v>24</v>
      </c>
      <c r="J96" s="6">
        <v>0</v>
      </c>
      <c r="K96" s="6">
        <f t="shared" si="9"/>
        <v>24</v>
      </c>
      <c r="L96" s="14">
        <f t="shared" si="10"/>
        <v>100</v>
      </c>
      <c r="M96" s="14">
        <f t="shared" si="11"/>
        <v>6720</v>
      </c>
      <c r="N96" s="6" t="s">
        <v>69</v>
      </c>
      <c r="O96" s="6" t="s">
        <v>69</v>
      </c>
    </row>
    <row r="97" spans="1:15" x14ac:dyDescent="0.2">
      <c r="A97" s="81"/>
      <c r="B97" s="9">
        <v>15</v>
      </c>
      <c r="C97" s="16" t="s">
        <v>121</v>
      </c>
      <c r="D97" s="18">
        <v>10284956</v>
      </c>
      <c r="E97" s="19">
        <v>112052073</v>
      </c>
      <c r="F97" s="19">
        <v>3622</v>
      </c>
      <c r="G97" s="19">
        <v>2</v>
      </c>
      <c r="H97" s="9">
        <f t="shared" si="8"/>
        <v>12</v>
      </c>
      <c r="I97" s="9">
        <v>12</v>
      </c>
      <c r="J97" s="6">
        <v>0</v>
      </c>
      <c r="K97" s="6">
        <f t="shared" si="9"/>
        <v>12</v>
      </c>
      <c r="L97" s="14">
        <f t="shared" si="10"/>
        <v>100</v>
      </c>
      <c r="M97" s="14">
        <f t="shared" si="11"/>
        <v>43464</v>
      </c>
      <c r="N97" s="6" t="s">
        <v>69</v>
      </c>
      <c r="O97" s="6" t="s">
        <v>69</v>
      </c>
    </row>
    <row r="98" spans="1:15" x14ac:dyDescent="0.2">
      <c r="A98" s="81"/>
      <c r="B98" s="9">
        <v>16</v>
      </c>
      <c r="C98" s="16" t="s">
        <v>85</v>
      </c>
      <c r="D98" s="18">
        <v>10284958</v>
      </c>
      <c r="E98" s="19">
        <v>112507072</v>
      </c>
      <c r="F98" s="19">
        <v>1707</v>
      </c>
      <c r="G98" s="19">
        <v>8</v>
      </c>
      <c r="H98" s="9">
        <f t="shared" si="8"/>
        <v>48</v>
      </c>
      <c r="I98" s="9">
        <v>48</v>
      </c>
      <c r="J98" s="6">
        <v>0</v>
      </c>
      <c r="K98" s="6">
        <f t="shared" si="9"/>
        <v>48</v>
      </c>
      <c r="L98" s="14">
        <f t="shared" si="10"/>
        <v>100</v>
      </c>
      <c r="M98" s="14">
        <f t="shared" si="11"/>
        <v>81936</v>
      </c>
      <c r="N98" s="6" t="s">
        <v>69</v>
      </c>
      <c r="O98" s="6" t="s">
        <v>69</v>
      </c>
    </row>
    <row r="99" spans="1:15" x14ac:dyDescent="0.2">
      <c r="A99" s="81"/>
      <c r="B99" s="9">
        <v>17</v>
      </c>
      <c r="C99" s="16" t="s">
        <v>122</v>
      </c>
      <c r="D99" s="18">
        <v>10247825</v>
      </c>
      <c r="E99" s="19">
        <v>112052078</v>
      </c>
      <c r="F99" s="19">
        <v>948</v>
      </c>
      <c r="G99" s="19">
        <v>1</v>
      </c>
      <c r="H99" s="9">
        <f t="shared" si="8"/>
        <v>6</v>
      </c>
      <c r="I99" s="9">
        <v>6</v>
      </c>
      <c r="J99" s="6">
        <v>0</v>
      </c>
      <c r="K99" s="6">
        <f t="shared" si="9"/>
        <v>6</v>
      </c>
      <c r="L99" s="14">
        <f t="shared" si="10"/>
        <v>100</v>
      </c>
      <c r="M99" s="14">
        <f t="shared" si="11"/>
        <v>5688</v>
      </c>
      <c r="N99" s="6" t="s">
        <v>69</v>
      </c>
      <c r="O99" s="6" t="s">
        <v>69</v>
      </c>
    </row>
    <row r="100" spans="1:15" x14ac:dyDescent="0.2">
      <c r="A100" s="81"/>
      <c r="B100" s="9">
        <v>18</v>
      </c>
      <c r="C100" s="16" t="s">
        <v>87</v>
      </c>
      <c r="D100" s="18">
        <v>10046047</v>
      </c>
      <c r="E100" s="19">
        <v>112052074</v>
      </c>
      <c r="F100" s="19">
        <v>25</v>
      </c>
      <c r="G100" s="19">
        <v>10</v>
      </c>
      <c r="H100" s="9">
        <f t="shared" si="8"/>
        <v>60</v>
      </c>
      <c r="I100" s="9">
        <v>60</v>
      </c>
      <c r="J100" s="6">
        <v>0</v>
      </c>
      <c r="K100" s="6">
        <f t="shared" si="9"/>
        <v>60</v>
      </c>
      <c r="L100" s="14">
        <f t="shared" si="10"/>
        <v>100</v>
      </c>
      <c r="M100" s="14">
        <f t="shared" si="11"/>
        <v>1500</v>
      </c>
      <c r="N100" s="6" t="s">
        <v>69</v>
      </c>
      <c r="O100" s="6" t="s">
        <v>69</v>
      </c>
    </row>
    <row r="101" spans="1:15" x14ac:dyDescent="0.2">
      <c r="A101" s="81"/>
      <c r="B101" s="9">
        <v>19</v>
      </c>
      <c r="C101" s="16" t="s">
        <v>89</v>
      </c>
      <c r="D101" s="18">
        <v>10002365</v>
      </c>
      <c r="E101" s="19">
        <v>112507026</v>
      </c>
      <c r="F101" s="19">
        <v>0</v>
      </c>
      <c r="G101" s="19">
        <v>3</v>
      </c>
      <c r="H101" s="9">
        <f t="shared" si="8"/>
        <v>18</v>
      </c>
      <c r="I101" s="9">
        <v>18</v>
      </c>
      <c r="J101" s="6">
        <v>0</v>
      </c>
      <c r="K101" s="6">
        <f t="shared" si="9"/>
        <v>18</v>
      </c>
      <c r="L101" s="14">
        <f t="shared" si="10"/>
        <v>100</v>
      </c>
      <c r="M101" s="14">
        <f t="shared" si="11"/>
        <v>0</v>
      </c>
      <c r="N101" s="6" t="s">
        <v>69</v>
      </c>
      <c r="O101" s="6" t="s">
        <v>69</v>
      </c>
    </row>
    <row r="102" spans="1:15" x14ac:dyDescent="0.2">
      <c r="A102" s="81"/>
      <c r="B102" s="9">
        <v>20</v>
      </c>
      <c r="C102" s="16" t="s">
        <v>90</v>
      </c>
      <c r="D102" s="18">
        <v>10286931</v>
      </c>
      <c r="E102" s="19">
        <v>112507027</v>
      </c>
      <c r="F102" s="19">
        <v>0</v>
      </c>
      <c r="G102" s="19">
        <v>2</v>
      </c>
      <c r="H102" s="9">
        <f t="shared" si="8"/>
        <v>12</v>
      </c>
      <c r="I102" s="9">
        <v>12</v>
      </c>
      <c r="J102" s="6">
        <v>0</v>
      </c>
      <c r="K102" s="6">
        <f t="shared" si="9"/>
        <v>12</v>
      </c>
      <c r="L102" s="14">
        <f t="shared" si="10"/>
        <v>100</v>
      </c>
      <c r="M102" s="14">
        <f t="shared" si="11"/>
        <v>0</v>
      </c>
      <c r="N102" s="6" t="s">
        <v>69</v>
      </c>
      <c r="O102" s="6" t="s">
        <v>69</v>
      </c>
    </row>
    <row r="103" spans="1:15" x14ac:dyDescent="0.2">
      <c r="A103" s="81"/>
      <c r="B103" s="9">
        <v>21</v>
      </c>
      <c r="C103" s="16" t="s">
        <v>91</v>
      </c>
      <c r="D103" s="18">
        <v>10212595</v>
      </c>
      <c r="E103" s="19">
        <v>112507028</v>
      </c>
      <c r="F103" s="19">
        <v>0</v>
      </c>
      <c r="G103" s="19">
        <v>5</v>
      </c>
      <c r="H103" s="9">
        <f t="shared" si="8"/>
        <v>30</v>
      </c>
      <c r="I103" s="9">
        <v>30</v>
      </c>
      <c r="J103" s="6">
        <v>0</v>
      </c>
      <c r="K103" s="6">
        <f t="shared" si="9"/>
        <v>30</v>
      </c>
      <c r="L103" s="14">
        <f t="shared" si="10"/>
        <v>100</v>
      </c>
      <c r="M103" s="14">
        <f t="shared" si="11"/>
        <v>0</v>
      </c>
      <c r="N103" s="6" t="s">
        <v>69</v>
      </c>
      <c r="O103" s="6" t="s">
        <v>69</v>
      </c>
    </row>
    <row r="104" spans="1:15" x14ac:dyDescent="0.2">
      <c r="A104" s="81"/>
      <c r="B104" s="9">
        <v>22</v>
      </c>
      <c r="C104" s="17" t="s">
        <v>92</v>
      </c>
      <c r="D104" s="18">
        <v>10083660</v>
      </c>
      <c r="E104" s="19">
        <v>112507017</v>
      </c>
      <c r="F104" s="19">
        <v>0</v>
      </c>
      <c r="G104" s="19">
        <v>1</v>
      </c>
      <c r="H104" s="9">
        <f t="shared" si="8"/>
        <v>6</v>
      </c>
      <c r="I104" s="9">
        <v>6</v>
      </c>
      <c r="J104" s="6">
        <v>0</v>
      </c>
      <c r="K104" s="6">
        <f t="shared" si="9"/>
        <v>6</v>
      </c>
      <c r="L104" s="14">
        <f t="shared" si="10"/>
        <v>100</v>
      </c>
      <c r="M104" s="14">
        <f t="shared" si="11"/>
        <v>0</v>
      </c>
      <c r="N104" s="6" t="s">
        <v>69</v>
      </c>
      <c r="O104" s="6" t="s">
        <v>69</v>
      </c>
    </row>
    <row r="105" spans="1:15" ht="25.2" x14ac:dyDescent="0.2">
      <c r="A105" s="81"/>
      <c r="B105" s="9">
        <v>23</v>
      </c>
      <c r="C105" s="16" t="s">
        <v>123</v>
      </c>
      <c r="D105" s="18">
        <v>10284957</v>
      </c>
      <c r="E105" s="19">
        <v>112052075</v>
      </c>
      <c r="F105" s="19">
        <v>276</v>
      </c>
      <c r="G105" s="19">
        <v>2</v>
      </c>
      <c r="H105" s="9">
        <f t="shared" si="8"/>
        <v>12</v>
      </c>
      <c r="I105" s="9">
        <v>12</v>
      </c>
      <c r="J105" s="6">
        <v>0</v>
      </c>
      <c r="K105" s="6">
        <f t="shared" si="9"/>
        <v>12</v>
      </c>
      <c r="L105" s="14">
        <f t="shared" si="10"/>
        <v>100</v>
      </c>
      <c r="M105" s="14">
        <f t="shared" si="11"/>
        <v>3312</v>
      </c>
      <c r="N105" s="6" t="s">
        <v>69</v>
      </c>
      <c r="O105" s="6" t="s">
        <v>69</v>
      </c>
    </row>
    <row r="106" spans="1:15" ht="25.2" x14ac:dyDescent="0.2">
      <c r="A106" s="81"/>
      <c r="B106" s="9">
        <v>24</v>
      </c>
      <c r="C106" s="16" t="s">
        <v>124</v>
      </c>
      <c r="D106" s="18">
        <v>10083657</v>
      </c>
      <c r="E106" s="19">
        <v>112507080</v>
      </c>
      <c r="F106" s="19">
        <v>0</v>
      </c>
      <c r="G106" s="19">
        <v>1</v>
      </c>
      <c r="H106" s="9">
        <f t="shared" si="8"/>
        <v>6</v>
      </c>
      <c r="I106" s="9">
        <v>6</v>
      </c>
      <c r="J106" s="6">
        <v>0</v>
      </c>
      <c r="K106" s="6">
        <f t="shared" si="9"/>
        <v>6</v>
      </c>
      <c r="L106" s="14">
        <f t="shared" si="10"/>
        <v>100</v>
      </c>
      <c r="M106" s="14">
        <f t="shared" si="11"/>
        <v>0</v>
      </c>
      <c r="N106" s="6" t="s">
        <v>69</v>
      </c>
      <c r="O106" s="6" t="s">
        <v>69</v>
      </c>
    </row>
    <row r="107" spans="1:15" x14ac:dyDescent="0.2">
      <c r="A107" s="81"/>
      <c r="B107" s="9">
        <v>25</v>
      </c>
      <c r="C107" s="16" t="s">
        <v>125</v>
      </c>
      <c r="D107" s="18">
        <v>10227667</v>
      </c>
      <c r="E107" s="19"/>
      <c r="F107" s="19">
        <v>0</v>
      </c>
      <c r="G107" s="19">
        <v>4</v>
      </c>
      <c r="H107" s="9">
        <f t="shared" si="8"/>
        <v>24</v>
      </c>
      <c r="I107" s="9">
        <v>24</v>
      </c>
      <c r="J107" s="6">
        <v>0</v>
      </c>
      <c r="K107" s="6">
        <f t="shared" si="9"/>
        <v>24</v>
      </c>
      <c r="L107" s="14">
        <f t="shared" si="10"/>
        <v>100</v>
      </c>
      <c r="M107" s="14">
        <f t="shared" si="11"/>
        <v>0</v>
      </c>
      <c r="N107" s="6" t="s">
        <v>69</v>
      </c>
      <c r="O107" s="6" t="s">
        <v>69</v>
      </c>
    </row>
    <row r="108" spans="1:15" ht="25.2" x14ac:dyDescent="0.2">
      <c r="A108" s="81"/>
      <c r="B108" s="9">
        <v>26</v>
      </c>
      <c r="C108" s="16" t="s">
        <v>126</v>
      </c>
      <c r="D108" s="18">
        <v>10039994</v>
      </c>
      <c r="E108" s="19">
        <v>112507078</v>
      </c>
      <c r="F108" s="19">
        <v>0</v>
      </c>
      <c r="G108" s="19">
        <v>4</v>
      </c>
      <c r="H108" s="9">
        <f t="shared" si="8"/>
        <v>24</v>
      </c>
      <c r="I108" s="9">
        <v>24</v>
      </c>
      <c r="J108" s="6">
        <v>0</v>
      </c>
      <c r="K108" s="6">
        <f t="shared" si="9"/>
        <v>24</v>
      </c>
      <c r="L108" s="14">
        <f t="shared" si="10"/>
        <v>100</v>
      </c>
      <c r="M108" s="14">
        <f t="shared" si="11"/>
        <v>0</v>
      </c>
      <c r="N108" s="6" t="s">
        <v>69</v>
      </c>
      <c r="O108" s="6" t="s">
        <v>69</v>
      </c>
    </row>
    <row r="109" spans="1:15" ht="25.2" x14ac:dyDescent="0.2">
      <c r="A109" s="81"/>
      <c r="B109" s="9">
        <v>27</v>
      </c>
      <c r="C109" s="16" t="s">
        <v>94</v>
      </c>
      <c r="D109" s="18">
        <v>10036865</v>
      </c>
      <c r="E109" s="19">
        <v>112507077</v>
      </c>
      <c r="F109" s="19">
        <v>0</v>
      </c>
      <c r="G109" s="19">
        <v>8</v>
      </c>
      <c r="H109" s="9">
        <f t="shared" si="8"/>
        <v>48</v>
      </c>
      <c r="I109" s="9">
        <v>48</v>
      </c>
      <c r="J109" s="6">
        <v>0</v>
      </c>
      <c r="K109" s="6">
        <f t="shared" si="9"/>
        <v>48</v>
      </c>
      <c r="L109" s="14">
        <f t="shared" si="10"/>
        <v>100</v>
      </c>
      <c r="M109" s="14">
        <f t="shared" si="11"/>
        <v>0</v>
      </c>
      <c r="N109" s="6" t="s">
        <v>69</v>
      </c>
      <c r="O109" s="6" t="s">
        <v>69</v>
      </c>
    </row>
    <row r="110" spans="1:15" ht="25.2" x14ac:dyDescent="0.2">
      <c r="A110" s="81"/>
      <c r="B110" s="9">
        <v>28</v>
      </c>
      <c r="C110" s="16" t="s">
        <v>127</v>
      </c>
      <c r="D110" s="18">
        <v>10040007</v>
      </c>
      <c r="E110" s="19">
        <v>112507076</v>
      </c>
      <c r="F110" s="19">
        <v>0</v>
      </c>
      <c r="G110" s="19">
        <v>2</v>
      </c>
      <c r="H110" s="9">
        <f t="shared" si="8"/>
        <v>12</v>
      </c>
      <c r="I110" s="9">
        <v>12</v>
      </c>
      <c r="J110" s="6">
        <v>0</v>
      </c>
      <c r="K110" s="6">
        <f t="shared" si="9"/>
        <v>12</v>
      </c>
      <c r="L110" s="14">
        <f t="shared" si="10"/>
        <v>100</v>
      </c>
      <c r="M110" s="14">
        <f t="shared" si="11"/>
        <v>0</v>
      </c>
      <c r="N110" s="6" t="s">
        <v>69</v>
      </c>
      <c r="O110" s="6" t="s">
        <v>69</v>
      </c>
    </row>
    <row r="111" spans="1:15" x14ac:dyDescent="0.2">
      <c r="A111" s="81"/>
      <c r="B111" s="9">
        <v>29</v>
      </c>
      <c r="C111" s="16" t="s">
        <v>128</v>
      </c>
      <c r="D111" s="18">
        <v>10037193</v>
      </c>
      <c r="E111" s="19">
        <v>112507075</v>
      </c>
      <c r="F111" s="19">
        <v>0</v>
      </c>
      <c r="G111" s="19">
        <v>2</v>
      </c>
      <c r="H111" s="9">
        <f t="shared" si="8"/>
        <v>12</v>
      </c>
      <c r="I111" s="9">
        <v>12</v>
      </c>
      <c r="J111" s="6">
        <v>0</v>
      </c>
      <c r="K111" s="6">
        <f t="shared" si="9"/>
        <v>12</v>
      </c>
      <c r="L111" s="14">
        <f t="shared" si="10"/>
        <v>100</v>
      </c>
      <c r="M111" s="14">
        <f t="shared" si="11"/>
        <v>0</v>
      </c>
      <c r="N111" s="6" t="s">
        <v>69</v>
      </c>
      <c r="O111" s="6" t="s">
        <v>69</v>
      </c>
    </row>
    <row r="112" spans="1:15" ht="25.2" x14ac:dyDescent="0.2">
      <c r="A112" s="81"/>
      <c r="B112" s="9">
        <v>30</v>
      </c>
      <c r="C112" s="16" t="s">
        <v>129</v>
      </c>
      <c r="D112" s="18">
        <v>10040016</v>
      </c>
      <c r="E112" s="19">
        <v>112507074</v>
      </c>
      <c r="F112" s="19">
        <v>0</v>
      </c>
      <c r="G112" s="19">
        <v>1</v>
      </c>
      <c r="H112" s="9">
        <f t="shared" si="8"/>
        <v>6</v>
      </c>
      <c r="I112" s="9">
        <v>6</v>
      </c>
      <c r="J112" s="6">
        <v>0</v>
      </c>
      <c r="K112" s="6">
        <f t="shared" si="9"/>
        <v>6</v>
      </c>
      <c r="L112" s="14">
        <f t="shared" si="10"/>
        <v>100</v>
      </c>
      <c r="M112" s="14">
        <f t="shared" si="11"/>
        <v>0</v>
      </c>
      <c r="N112" s="6" t="s">
        <v>69</v>
      </c>
      <c r="O112" s="6" t="s">
        <v>69</v>
      </c>
    </row>
    <row r="113" spans="1:15" x14ac:dyDescent="0.2">
      <c r="A113" s="81"/>
      <c r="B113" s="9">
        <v>31</v>
      </c>
      <c r="C113" s="16" t="s">
        <v>130</v>
      </c>
      <c r="D113" s="18">
        <v>10037196</v>
      </c>
      <c r="E113" s="19">
        <v>112507073</v>
      </c>
      <c r="F113" s="19">
        <v>0</v>
      </c>
      <c r="G113" s="19">
        <v>2</v>
      </c>
      <c r="H113" s="9">
        <f t="shared" si="8"/>
        <v>12</v>
      </c>
      <c r="I113" s="9">
        <v>12</v>
      </c>
      <c r="J113" s="6">
        <v>0</v>
      </c>
      <c r="K113" s="6">
        <f t="shared" si="9"/>
        <v>12</v>
      </c>
      <c r="L113" s="14">
        <f t="shared" si="10"/>
        <v>100</v>
      </c>
      <c r="M113" s="14">
        <f t="shared" si="11"/>
        <v>0</v>
      </c>
      <c r="N113" s="6" t="s">
        <v>69</v>
      </c>
      <c r="O113" s="6" t="s">
        <v>69</v>
      </c>
    </row>
    <row r="114" spans="1:15" x14ac:dyDescent="0.2">
      <c r="A114" s="81"/>
      <c r="B114" s="9">
        <v>32</v>
      </c>
      <c r="C114" s="16" t="s">
        <v>131</v>
      </c>
      <c r="D114" s="18" t="s">
        <v>35</v>
      </c>
      <c r="E114" s="19">
        <v>112507127</v>
      </c>
      <c r="F114" s="19">
        <v>0</v>
      </c>
      <c r="G114" s="19">
        <v>2</v>
      </c>
      <c r="H114" s="9">
        <f t="shared" si="8"/>
        <v>12</v>
      </c>
      <c r="I114" s="9">
        <v>12</v>
      </c>
      <c r="J114" s="6">
        <v>0</v>
      </c>
      <c r="K114" s="6">
        <f t="shared" si="9"/>
        <v>12</v>
      </c>
      <c r="L114" s="14">
        <f t="shared" si="10"/>
        <v>100</v>
      </c>
      <c r="M114" s="14">
        <f t="shared" si="11"/>
        <v>0</v>
      </c>
      <c r="N114" s="6" t="s">
        <v>69</v>
      </c>
      <c r="O114" s="6" t="s">
        <v>69</v>
      </c>
    </row>
    <row r="115" spans="1:15" ht="13.2" x14ac:dyDescent="0.2">
      <c r="A115" s="81"/>
      <c r="B115" s="9">
        <v>33</v>
      </c>
      <c r="C115" s="16" t="s">
        <v>132</v>
      </c>
      <c r="D115" s="18" t="s">
        <v>137</v>
      </c>
      <c r="E115" s="19">
        <v>112052056</v>
      </c>
      <c r="F115" s="19">
        <v>10027</v>
      </c>
      <c r="G115" s="20">
        <v>2</v>
      </c>
      <c r="H115" s="9">
        <f t="shared" si="8"/>
        <v>12</v>
      </c>
      <c r="I115" s="9">
        <v>12</v>
      </c>
      <c r="J115" s="6">
        <v>0</v>
      </c>
      <c r="K115" s="6">
        <f t="shared" si="9"/>
        <v>12</v>
      </c>
      <c r="L115" s="14">
        <f t="shared" si="10"/>
        <v>100</v>
      </c>
      <c r="M115" s="14">
        <f t="shared" si="11"/>
        <v>120324</v>
      </c>
      <c r="N115" s="6" t="s">
        <v>69</v>
      </c>
      <c r="O115" s="6" t="s">
        <v>69</v>
      </c>
    </row>
    <row r="116" spans="1:15" ht="13.2" x14ac:dyDescent="0.2">
      <c r="A116" s="81"/>
      <c r="B116" s="9">
        <v>34</v>
      </c>
      <c r="C116" s="16" t="s">
        <v>133</v>
      </c>
      <c r="D116" s="18" t="s">
        <v>138</v>
      </c>
      <c r="E116" s="19">
        <v>112052058</v>
      </c>
      <c r="F116" s="19">
        <v>10428</v>
      </c>
      <c r="G116" s="20">
        <v>2</v>
      </c>
      <c r="H116" s="9">
        <f t="shared" si="8"/>
        <v>12</v>
      </c>
      <c r="I116" s="9">
        <v>12</v>
      </c>
      <c r="J116" s="6">
        <v>0</v>
      </c>
      <c r="K116" s="6">
        <f t="shared" si="9"/>
        <v>12</v>
      </c>
      <c r="L116" s="14">
        <f t="shared" si="10"/>
        <v>100</v>
      </c>
      <c r="M116" s="14">
        <f t="shared" si="11"/>
        <v>125136</v>
      </c>
      <c r="N116" s="6" t="s">
        <v>69</v>
      </c>
      <c r="O116" s="6" t="s">
        <v>69</v>
      </c>
    </row>
    <row r="117" spans="1:15" ht="13.2" x14ac:dyDescent="0.2">
      <c r="A117" s="81"/>
      <c r="B117" s="9">
        <v>35</v>
      </c>
      <c r="C117" s="16" t="s">
        <v>134</v>
      </c>
      <c r="D117" s="18">
        <v>10373807</v>
      </c>
      <c r="E117" s="19">
        <v>112052052</v>
      </c>
      <c r="F117" s="19">
        <v>2461</v>
      </c>
      <c r="G117" s="20">
        <v>1</v>
      </c>
      <c r="H117" s="9">
        <f t="shared" si="8"/>
        <v>6</v>
      </c>
      <c r="I117" s="9">
        <v>6</v>
      </c>
      <c r="J117" s="6">
        <v>0</v>
      </c>
      <c r="K117" s="6">
        <f t="shared" si="9"/>
        <v>6</v>
      </c>
      <c r="L117" s="14">
        <f t="shared" si="10"/>
        <v>100</v>
      </c>
      <c r="M117" s="14">
        <f t="shared" si="11"/>
        <v>14766</v>
      </c>
      <c r="N117" s="6" t="s">
        <v>69</v>
      </c>
      <c r="O117" s="6" t="s">
        <v>69</v>
      </c>
    </row>
    <row r="118" spans="1:15" ht="13.2" x14ac:dyDescent="0.2">
      <c r="A118" s="81"/>
      <c r="B118" s="9">
        <v>36</v>
      </c>
      <c r="C118" s="16" t="s">
        <v>135</v>
      </c>
      <c r="D118" s="18">
        <v>10373808</v>
      </c>
      <c r="E118" s="19">
        <v>112052054</v>
      </c>
      <c r="F118" s="19">
        <v>2461</v>
      </c>
      <c r="G118" s="20">
        <v>1</v>
      </c>
      <c r="H118" s="9">
        <f t="shared" si="8"/>
        <v>6</v>
      </c>
      <c r="I118" s="9">
        <v>6</v>
      </c>
      <c r="J118" s="6">
        <v>0</v>
      </c>
      <c r="K118" s="6">
        <f t="shared" si="9"/>
        <v>6</v>
      </c>
      <c r="L118" s="14">
        <f t="shared" si="10"/>
        <v>100</v>
      </c>
      <c r="M118" s="14">
        <f t="shared" si="11"/>
        <v>14766</v>
      </c>
      <c r="N118" s="6" t="s">
        <v>69</v>
      </c>
      <c r="O118" s="6" t="s">
        <v>69</v>
      </c>
    </row>
    <row r="119" spans="1:15" ht="25.2" x14ac:dyDescent="0.2">
      <c r="A119" s="81"/>
      <c r="B119" s="9">
        <v>37</v>
      </c>
      <c r="C119" s="16" t="s">
        <v>132</v>
      </c>
      <c r="D119" s="18" t="s">
        <v>139</v>
      </c>
      <c r="E119" s="19">
        <v>135009962</v>
      </c>
      <c r="F119" s="19">
        <v>6650</v>
      </c>
      <c r="G119" s="20">
        <v>2</v>
      </c>
      <c r="H119" s="9">
        <f t="shared" si="8"/>
        <v>12</v>
      </c>
      <c r="I119" s="9">
        <v>12</v>
      </c>
      <c r="J119" s="6">
        <v>0</v>
      </c>
      <c r="K119" s="6">
        <f t="shared" si="9"/>
        <v>12</v>
      </c>
      <c r="L119" s="14">
        <f t="shared" si="10"/>
        <v>100</v>
      </c>
      <c r="M119" s="14">
        <f t="shared" si="11"/>
        <v>79800</v>
      </c>
      <c r="N119" s="6" t="s">
        <v>69</v>
      </c>
      <c r="O119" s="6" t="s">
        <v>69</v>
      </c>
    </row>
    <row r="120" spans="1:15" ht="25.2" x14ac:dyDescent="0.2">
      <c r="A120" s="81"/>
      <c r="B120" s="9">
        <v>38</v>
      </c>
      <c r="C120" s="16" t="s">
        <v>133</v>
      </c>
      <c r="D120" s="18" t="s">
        <v>140</v>
      </c>
      <c r="E120" s="19">
        <v>135009956</v>
      </c>
      <c r="F120" s="19">
        <v>6650</v>
      </c>
      <c r="G120" s="20">
        <v>2</v>
      </c>
      <c r="H120" s="9">
        <f t="shared" si="8"/>
        <v>12</v>
      </c>
      <c r="I120" s="9">
        <v>12</v>
      </c>
      <c r="J120" s="6">
        <v>0</v>
      </c>
      <c r="K120" s="6">
        <f t="shared" si="9"/>
        <v>12</v>
      </c>
      <c r="L120" s="14">
        <f t="shared" si="10"/>
        <v>100</v>
      </c>
      <c r="M120" s="14">
        <f t="shared" si="11"/>
        <v>79800</v>
      </c>
      <c r="N120" s="6" t="s">
        <v>69</v>
      </c>
      <c r="O120" s="6" t="s">
        <v>69</v>
      </c>
    </row>
    <row r="121" spans="1:15" ht="13.2" x14ac:dyDescent="0.2">
      <c r="A121" s="82"/>
      <c r="B121" s="9">
        <v>39</v>
      </c>
      <c r="C121" s="16" t="s">
        <v>108</v>
      </c>
      <c r="D121" s="18">
        <v>10283948</v>
      </c>
      <c r="E121" s="19">
        <v>112507071</v>
      </c>
      <c r="F121" s="19">
        <v>0</v>
      </c>
      <c r="G121" s="20">
        <v>1</v>
      </c>
      <c r="H121" s="9">
        <f t="shared" si="8"/>
        <v>6</v>
      </c>
      <c r="I121" s="9">
        <v>6</v>
      </c>
      <c r="J121" s="6">
        <v>0</v>
      </c>
      <c r="K121" s="6">
        <f t="shared" si="9"/>
        <v>6</v>
      </c>
      <c r="L121" s="14">
        <f t="shared" si="10"/>
        <v>100</v>
      </c>
      <c r="M121" s="14">
        <f t="shared" si="11"/>
        <v>0</v>
      </c>
      <c r="N121" s="6" t="s">
        <v>69</v>
      </c>
      <c r="O121" s="6" t="s">
        <v>69</v>
      </c>
    </row>
    <row r="122" spans="1:15" x14ac:dyDescent="0.2">
      <c r="B122" s="9"/>
      <c r="C122" s="2"/>
      <c r="D122" s="2"/>
      <c r="E122" s="1"/>
      <c r="F122" s="1"/>
      <c r="G122" s="9"/>
      <c r="H122" s="9"/>
    </row>
    <row r="123" spans="1:15" ht="12.6" customHeight="1" x14ac:dyDescent="0.2">
      <c r="A123" s="80" t="s">
        <v>141</v>
      </c>
      <c r="B123" s="66" t="s">
        <v>1</v>
      </c>
      <c r="C123" s="66" t="s">
        <v>0</v>
      </c>
      <c r="D123" s="66" t="s">
        <v>2</v>
      </c>
      <c r="E123" s="70" t="s">
        <v>3</v>
      </c>
      <c r="F123" s="70" t="s">
        <v>66</v>
      </c>
      <c r="G123" s="66" t="s">
        <v>4</v>
      </c>
      <c r="H123" s="78" t="s">
        <v>268</v>
      </c>
      <c r="I123" s="66" t="s">
        <v>250</v>
      </c>
      <c r="J123" s="66" t="s">
        <v>61</v>
      </c>
      <c r="K123" s="66" t="s">
        <v>62</v>
      </c>
      <c r="L123" s="78" t="s">
        <v>68</v>
      </c>
      <c r="M123" s="78" t="s">
        <v>65</v>
      </c>
      <c r="N123" s="66" t="s">
        <v>267</v>
      </c>
      <c r="O123" s="66" t="s">
        <v>230</v>
      </c>
    </row>
    <row r="124" spans="1:15" ht="25.2" customHeight="1" x14ac:dyDescent="0.2">
      <c r="A124" s="81"/>
      <c r="B124" s="66"/>
      <c r="C124" s="66"/>
      <c r="D124" s="66"/>
      <c r="E124" s="70"/>
      <c r="F124" s="70"/>
      <c r="G124" s="66"/>
      <c r="H124" s="77"/>
      <c r="I124" s="66"/>
      <c r="J124" s="66"/>
      <c r="K124" s="66"/>
      <c r="L124" s="77"/>
      <c r="M124" s="77"/>
      <c r="N124" s="66"/>
      <c r="O124" s="66"/>
    </row>
    <row r="125" spans="1:15" x14ac:dyDescent="0.2">
      <c r="A125" s="81"/>
      <c r="B125" s="9">
        <v>1</v>
      </c>
      <c r="C125" s="16" t="s">
        <v>142</v>
      </c>
      <c r="D125" s="21">
        <v>10323474</v>
      </c>
      <c r="E125" s="1">
        <v>112507157</v>
      </c>
      <c r="F125" s="1">
        <v>0</v>
      </c>
      <c r="G125" s="1">
        <v>1</v>
      </c>
      <c r="H125" s="9">
        <f>I125</f>
        <v>3</v>
      </c>
      <c r="I125" s="9">
        <v>3</v>
      </c>
      <c r="J125" s="6">
        <v>0</v>
      </c>
      <c r="K125" s="6">
        <f>I125-J125</f>
        <v>3</v>
      </c>
      <c r="L125" s="14">
        <f>K125/I125*100</f>
        <v>100</v>
      </c>
      <c r="M125" s="14">
        <f>K125*F125</f>
        <v>0</v>
      </c>
      <c r="N125" s="6" t="s">
        <v>69</v>
      </c>
      <c r="O125" s="6" t="s">
        <v>69</v>
      </c>
    </row>
    <row r="126" spans="1:15" x14ac:dyDescent="0.2">
      <c r="A126" s="81"/>
      <c r="B126" s="9">
        <v>2</v>
      </c>
      <c r="C126" s="16" t="s">
        <v>143</v>
      </c>
      <c r="D126" s="21">
        <v>10325202</v>
      </c>
      <c r="E126" s="1">
        <v>112507156</v>
      </c>
      <c r="F126" s="1">
        <v>0</v>
      </c>
      <c r="G126" s="1">
        <v>1</v>
      </c>
      <c r="H126" s="9">
        <f t="shared" ref="H126:H160" si="12">I126</f>
        <v>3</v>
      </c>
      <c r="I126" s="9">
        <v>3</v>
      </c>
      <c r="J126" s="6">
        <v>0</v>
      </c>
      <c r="K126" s="6">
        <f t="shared" ref="K126:K160" si="13">I126-J126</f>
        <v>3</v>
      </c>
      <c r="L126" s="14">
        <f t="shared" ref="L126:L160" si="14">K126/I126*100</f>
        <v>100</v>
      </c>
      <c r="M126" s="14">
        <f t="shared" ref="M126:M160" si="15">K126*F126</f>
        <v>0</v>
      </c>
      <c r="N126" s="6" t="s">
        <v>69</v>
      </c>
      <c r="O126" s="6" t="s">
        <v>69</v>
      </c>
    </row>
    <row r="127" spans="1:15" x14ac:dyDescent="0.2">
      <c r="A127" s="81"/>
      <c r="B127" s="9">
        <v>3</v>
      </c>
      <c r="C127" s="16" t="s">
        <v>143</v>
      </c>
      <c r="D127" s="21">
        <v>10325203</v>
      </c>
      <c r="E127" s="1">
        <v>112507158</v>
      </c>
      <c r="F127" s="1">
        <v>0</v>
      </c>
      <c r="G127" s="1">
        <v>1</v>
      </c>
      <c r="H127" s="9">
        <f t="shared" si="12"/>
        <v>3</v>
      </c>
      <c r="I127" s="9">
        <v>3</v>
      </c>
      <c r="J127" s="6">
        <v>0</v>
      </c>
      <c r="K127" s="6">
        <f t="shared" si="13"/>
        <v>3</v>
      </c>
      <c r="L127" s="14">
        <f t="shared" si="14"/>
        <v>100</v>
      </c>
      <c r="M127" s="14">
        <f t="shared" si="15"/>
        <v>0</v>
      </c>
      <c r="N127" s="6" t="s">
        <v>69</v>
      </c>
      <c r="O127" s="6" t="s">
        <v>69</v>
      </c>
    </row>
    <row r="128" spans="1:15" x14ac:dyDescent="0.2">
      <c r="A128" s="81"/>
      <c r="B128" s="9">
        <v>4</v>
      </c>
      <c r="C128" s="16" t="s">
        <v>8</v>
      </c>
      <c r="D128" s="21" t="s">
        <v>165</v>
      </c>
      <c r="E128" s="1">
        <v>112507140</v>
      </c>
      <c r="F128" s="1">
        <v>1674</v>
      </c>
      <c r="G128" s="1">
        <v>2</v>
      </c>
      <c r="H128" s="9">
        <f t="shared" si="12"/>
        <v>6</v>
      </c>
      <c r="I128" s="9">
        <v>6</v>
      </c>
      <c r="J128" s="6">
        <v>0</v>
      </c>
      <c r="K128" s="6">
        <f t="shared" si="13"/>
        <v>6</v>
      </c>
      <c r="L128" s="14">
        <f t="shared" si="14"/>
        <v>100</v>
      </c>
      <c r="M128" s="14">
        <f t="shared" si="15"/>
        <v>10044</v>
      </c>
      <c r="N128" s="6" t="s">
        <v>69</v>
      </c>
      <c r="O128" s="6" t="s">
        <v>69</v>
      </c>
    </row>
    <row r="129" spans="1:15" x14ac:dyDescent="0.2">
      <c r="A129" s="81"/>
      <c r="B129" s="9">
        <v>5</v>
      </c>
      <c r="C129" s="16" t="s">
        <v>10</v>
      </c>
      <c r="D129" s="21">
        <v>10323479</v>
      </c>
      <c r="E129" s="1">
        <v>112507155</v>
      </c>
      <c r="F129" s="1">
        <v>1920</v>
      </c>
      <c r="G129" s="1">
        <v>2</v>
      </c>
      <c r="H129" s="9">
        <f t="shared" si="12"/>
        <v>6</v>
      </c>
      <c r="I129" s="9">
        <v>6</v>
      </c>
      <c r="J129" s="6">
        <v>0</v>
      </c>
      <c r="K129" s="6">
        <f t="shared" si="13"/>
        <v>6</v>
      </c>
      <c r="L129" s="14">
        <f t="shared" si="14"/>
        <v>100</v>
      </c>
      <c r="M129" s="14">
        <f t="shared" si="15"/>
        <v>11520</v>
      </c>
      <c r="N129" s="6" t="s">
        <v>69</v>
      </c>
      <c r="O129" s="6" t="s">
        <v>69</v>
      </c>
    </row>
    <row r="130" spans="1:15" x14ac:dyDescent="0.2">
      <c r="A130" s="81"/>
      <c r="B130" s="9">
        <v>6</v>
      </c>
      <c r="C130" s="16" t="s">
        <v>144</v>
      </c>
      <c r="D130" s="21">
        <v>10323737</v>
      </c>
      <c r="E130" s="1">
        <v>112507154</v>
      </c>
      <c r="F130" s="1">
        <v>358</v>
      </c>
      <c r="G130" s="1">
        <v>2</v>
      </c>
      <c r="H130" s="9">
        <f t="shared" si="12"/>
        <v>6</v>
      </c>
      <c r="I130" s="9">
        <v>6</v>
      </c>
      <c r="J130" s="6">
        <v>0</v>
      </c>
      <c r="K130" s="6">
        <f t="shared" si="13"/>
        <v>6</v>
      </c>
      <c r="L130" s="14">
        <f t="shared" si="14"/>
        <v>100</v>
      </c>
      <c r="M130" s="14">
        <f t="shared" si="15"/>
        <v>2148</v>
      </c>
      <c r="N130" s="6" t="s">
        <v>69</v>
      </c>
      <c r="O130" s="6" t="s">
        <v>69</v>
      </c>
    </row>
    <row r="131" spans="1:15" x14ac:dyDescent="0.2">
      <c r="A131" s="81"/>
      <c r="B131" s="9">
        <v>7</v>
      </c>
      <c r="C131" s="16" t="s">
        <v>11</v>
      </c>
      <c r="D131" s="21">
        <v>10323478</v>
      </c>
      <c r="E131" s="1">
        <v>112507141</v>
      </c>
      <c r="F131" s="1">
        <v>1013</v>
      </c>
      <c r="G131" s="1">
        <v>1</v>
      </c>
      <c r="H131" s="9">
        <f t="shared" si="12"/>
        <v>3</v>
      </c>
      <c r="I131" s="9">
        <v>3</v>
      </c>
      <c r="J131" s="6">
        <v>0</v>
      </c>
      <c r="K131" s="6">
        <f t="shared" si="13"/>
        <v>3</v>
      </c>
      <c r="L131" s="14">
        <f t="shared" si="14"/>
        <v>100</v>
      </c>
      <c r="M131" s="14">
        <f t="shared" si="15"/>
        <v>3039</v>
      </c>
      <c r="N131" s="6" t="s">
        <v>69</v>
      </c>
      <c r="O131" s="6" t="s">
        <v>69</v>
      </c>
    </row>
    <row r="132" spans="1:15" x14ac:dyDescent="0.2">
      <c r="A132" s="81"/>
      <c r="B132" s="9">
        <v>8</v>
      </c>
      <c r="C132" s="16" t="s">
        <v>12</v>
      </c>
      <c r="D132" s="21">
        <v>10323480</v>
      </c>
      <c r="E132" s="1">
        <v>112507142</v>
      </c>
      <c r="F132" s="1">
        <v>1013</v>
      </c>
      <c r="G132" s="1">
        <v>1</v>
      </c>
      <c r="H132" s="9">
        <f t="shared" si="12"/>
        <v>3</v>
      </c>
      <c r="I132" s="9">
        <v>3</v>
      </c>
      <c r="J132" s="6">
        <v>0</v>
      </c>
      <c r="K132" s="6">
        <f t="shared" si="13"/>
        <v>3</v>
      </c>
      <c r="L132" s="14">
        <f t="shared" si="14"/>
        <v>100</v>
      </c>
      <c r="M132" s="14">
        <f t="shared" si="15"/>
        <v>3039</v>
      </c>
      <c r="N132" s="6" t="s">
        <v>69</v>
      </c>
      <c r="O132" s="6" t="s">
        <v>69</v>
      </c>
    </row>
    <row r="133" spans="1:15" x14ac:dyDescent="0.2">
      <c r="A133" s="81"/>
      <c r="B133" s="9">
        <v>9</v>
      </c>
      <c r="C133" s="16" t="s">
        <v>145</v>
      </c>
      <c r="D133" s="21">
        <v>10323481</v>
      </c>
      <c r="E133" s="1">
        <v>112507143</v>
      </c>
      <c r="F133" s="1">
        <v>1362</v>
      </c>
      <c r="G133" s="1">
        <v>1</v>
      </c>
      <c r="H133" s="9">
        <f t="shared" si="12"/>
        <v>3</v>
      </c>
      <c r="I133" s="9">
        <v>3</v>
      </c>
      <c r="J133" s="6">
        <v>0</v>
      </c>
      <c r="K133" s="6">
        <f t="shared" si="13"/>
        <v>3</v>
      </c>
      <c r="L133" s="14">
        <f t="shared" si="14"/>
        <v>100</v>
      </c>
      <c r="M133" s="14">
        <f t="shared" si="15"/>
        <v>4086</v>
      </c>
      <c r="N133" s="6" t="s">
        <v>69</v>
      </c>
      <c r="O133" s="6" t="s">
        <v>69</v>
      </c>
    </row>
    <row r="134" spans="1:15" x14ac:dyDescent="0.2">
      <c r="A134" s="81"/>
      <c r="B134" s="9">
        <v>10</v>
      </c>
      <c r="C134" s="16" t="s">
        <v>146</v>
      </c>
      <c r="D134" s="21">
        <v>10323482</v>
      </c>
      <c r="E134" s="1">
        <v>112507144</v>
      </c>
      <c r="F134" s="1">
        <v>1362</v>
      </c>
      <c r="G134" s="1">
        <v>1</v>
      </c>
      <c r="H134" s="9">
        <f t="shared" si="12"/>
        <v>3</v>
      </c>
      <c r="I134" s="9">
        <v>3</v>
      </c>
      <c r="J134" s="6">
        <v>0</v>
      </c>
      <c r="K134" s="6">
        <f t="shared" si="13"/>
        <v>3</v>
      </c>
      <c r="L134" s="14">
        <f t="shared" si="14"/>
        <v>100</v>
      </c>
      <c r="M134" s="14">
        <f t="shared" si="15"/>
        <v>4086</v>
      </c>
      <c r="N134" s="6" t="s">
        <v>69</v>
      </c>
      <c r="O134" s="6" t="s">
        <v>69</v>
      </c>
    </row>
    <row r="135" spans="1:15" x14ac:dyDescent="0.2">
      <c r="A135" s="81"/>
      <c r="B135" s="9">
        <v>11</v>
      </c>
      <c r="C135" s="16" t="s">
        <v>147</v>
      </c>
      <c r="D135" s="21">
        <v>10304492</v>
      </c>
      <c r="E135" s="1">
        <v>112507145</v>
      </c>
      <c r="F135" s="1">
        <v>106</v>
      </c>
      <c r="G135" s="1">
        <v>2</v>
      </c>
      <c r="H135" s="9">
        <f t="shared" si="12"/>
        <v>6</v>
      </c>
      <c r="I135" s="9">
        <v>6</v>
      </c>
      <c r="J135" s="6">
        <v>0</v>
      </c>
      <c r="K135" s="6">
        <f t="shared" si="13"/>
        <v>6</v>
      </c>
      <c r="L135" s="14">
        <f t="shared" si="14"/>
        <v>100</v>
      </c>
      <c r="M135" s="14">
        <f t="shared" si="15"/>
        <v>636</v>
      </c>
      <c r="N135" s="6" t="s">
        <v>69</v>
      </c>
      <c r="O135" s="6" t="s">
        <v>69</v>
      </c>
    </row>
    <row r="136" spans="1:15" x14ac:dyDescent="0.2">
      <c r="A136" s="81"/>
      <c r="B136" s="9">
        <v>12</v>
      </c>
      <c r="C136" s="16" t="s">
        <v>148</v>
      </c>
      <c r="D136" s="21">
        <v>10323773</v>
      </c>
      <c r="E136" s="1">
        <v>112507146</v>
      </c>
      <c r="F136" s="1">
        <v>106</v>
      </c>
      <c r="G136" s="1">
        <v>2</v>
      </c>
      <c r="H136" s="9">
        <f t="shared" si="12"/>
        <v>6</v>
      </c>
      <c r="I136" s="9">
        <v>6</v>
      </c>
      <c r="J136" s="6">
        <v>0</v>
      </c>
      <c r="K136" s="6">
        <f t="shared" si="13"/>
        <v>6</v>
      </c>
      <c r="L136" s="14">
        <f t="shared" si="14"/>
        <v>100</v>
      </c>
      <c r="M136" s="14">
        <f t="shared" si="15"/>
        <v>636</v>
      </c>
      <c r="N136" s="6" t="s">
        <v>69</v>
      </c>
      <c r="O136" s="6" t="s">
        <v>69</v>
      </c>
    </row>
    <row r="137" spans="1:15" x14ac:dyDescent="0.2">
      <c r="A137" s="81"/>
      <c r="B137" s="9">
        <v>13</v>
      </c>
      <c r="C137" s="16" t="s">
        <v>13</v>
      </c>
      <c r="D137" s="21">
        <v>10323512</v>
      </c>
      <c r="E137" s="1">
        <v>112507153</v>
      </c>
      <c r="F137" s="1">
        <v>436</v>
      </c>
      <c r="G137" s="1">
        <v>2</v>
      </c>
      <c r="H137" s="9">
        <f t="shared" si="12"/>
        <v>6</v>
      </c>
      <c r="I137" s="9">
        <v>6</v>
      </c>
      <c r="J137" s="6">
        <v>0</v>
      </c>
      <c r="K137" s="6">
        <f t="shared" si="13"/>
        <v>6</v>
      </c>
      <c r="L137" s="14">
        <f t="shared" si="14"/>
        <v>100</v>
      </c>
      <c r="M137" s="14">
        <f t="shared" si="15"/>
        <v>2616</v>
      </c>
      <c r="N137" s="6" t="s">
        <v>69</v>
      </c>
      <c r="O137" s="6" t="s">
        <v>69</v>
      </c>
    </row>
    <row r="138" spans="1:15" x14ac:dyDescent="0.2">
      <c r="A138" s="81"/>
      <c r="B138" s="9">
        <v>14</v>
      </c>
      <c r="C138" s="16" t="s">
        <v>149</v>
      </c>
      <c r="D138" s="21">
        <v>10049260</v>
      </c>
      <c r="E138" s="1">
        <v>112507152</v>
      </c>
      <c r="F138" s="1">
        <v>0</v>
      </c>
      <c r="G138" s="1">
        <v>2</v>
      </c>
      <c r="H138" s="9">
        <f t="shared" si="12"/>
        <v>6</v>
      </c>
      <c r="I138" s="9">
        <v>6</v>
      </c>
      <c r="J138" s="6">
        <v>0</v>
      </c>
      <c r="K138" s="6">
        <f t="shared" si="13"/>
        <v>6</v>
      </c>
      <c r="L138" s="14">
        <f t="shared" si="14"/>
        <v>100</v>
      </c>
      <c r="M138" s="14">
        <f t="shared" si="15"/>
        <v>0</v>
      </c>
      <c r="N138" s="6" t="s">
        <v>69</v>
      </c>
      <c r="O138" s="6" t="s">
        <v>69</v>
      </c>
    </row>
    <row r="139" spans="1:15" ht="25.2" x14ac:dyDescent="0.2">
      <c r="A139" s="81"/>
      <c r="B139" s="9">
        <v>15</v>
      </c>
      <c r="C139" s="16" t="s">
        <v>20</v>
      </c>
      <c r="D139" s="21">
        <v>10039783</v>
      </c>
      <c r="E139" s="1">
        <v>112507151</v>
      </c>
      <c r="F139" s="1">
        <v>388</v>
      </c>
      <c r="G139" s="1">
        <v>2</v>
      </c>
      <c r="H139" s="9">
        <f t="shared" si="12"/>
        <v>6</v>
      </c>
      <c r="I139" s="9">
        <v>6</v>
      </c>
      <c r="J139" s="6">
        <v>0</v>
      </c>
      <c r="K139" s="6">
        <f t="shared" si="13"/>
        <v>6</v>
      </c>
      <c r="L139" s="14">
        <f t="shared" si="14"/>
        <v>100</v>
      </c>
      <c r="M139" s="14">
        <f t="shared" si="15"/>
        <v>2328</v>
      </c>
      <c r="N139" s="6" t="s">
        <v>69</v>
      </c>
      <c r="O139" s="6" t="s">
        <v>69</v>
      </c>
    </row>
    <row r="140" spans="1:15" x14ac:dyDescent="0.2">
      <c r="A140" s="81"/>
      <c r="B140" s="9">
        <v>16</v>
      </c>
      <c r="C140" s="16" t="s">
        <v>22</v>
      </c>
      <c r="D140" s="21" t="s">
        <v>166</v>
      </c>
      <c r="E140" s="1">
        <v>112507122</v>
      </c>
      <c r="F140" s="1">
        <v>254</v>
      </c>
      <c r="G140" s="1">
        <v>2</v>
      </c>
      <c r="H140" s="9">
        <f t="shared" si="12"/>
        <v>6</v>
      </c>
      <c r="I140" s="9">
        <v>6</v>
      </c>
      <c r="J140" s="6">
        <v>0</v>
      </c>
      <c r="K140" s="6">
        <f t="shared" si="13"/>
        <v>6</v>
      </c>
      <c r="L140" s="14">
        <f t="shared" si="14"/>
        <v>100</v>
      </c>
      <c r="M140" s="14">
        <f t="shared" si="15"/>
        <v>1524</v>
      </c>
      <c r="N140" s="6" t="s">
        <v>69</v>
      </c>
      <c r="O140" s="6" t="s">
        <v>69</v>
      </c>
    </row>
    <row r="141" spans="1:15" x14ac:dyDescent="0.2">
      <c r="A141" s="81"/>
      <c r="B141" s="9">
        <v>17</v>
      </c>
      <c r="C141" s="16" t="s">
        <v>150</v>
      </c>
      <c r="D141" s="21" t="s">
        <v>167</v>
      </c>
      <c r="E141" s="1" t="s">
        <v>69</v>
      </c>
      <c r="F141" s="1">
        <v>0</v>
      </c>
      <c r="G141" s="1">
        <v>4</v>
      </c>
      <c r="H141" s="9">
        <f t="shared" si="12"/>
        <v>12</v>
      </c>
      <c r="I141" s="9">
        <v>12</v>
      </c>
      <c r="J141" s="6">
        <v>0</v>
      </c>
      <c r="K141" s="6">
        <f t="shared" si="13"/>
        <v>12</v>
      </c>
      <c r="L141" s="14">
        <f t="shared" si="14"/>
        <v>100</v>
      </c>
      <c r="M141" s="14">
        <f t="shared" si="15"/>
        <v>0</v>
      </c>
      <c r="N141" s="6" t="s">
        <v>69</v>
      </c>
      <c r="O141" s="6" t="s">
        <v>69</v>
      </c>
    </row>
    <row r="142" spans="1:15" x14ac:dyDescent="0.2">
      <c r="A142" s="81"/>
      <c r="B142" s="9">
        <v>18</v>
      </c>
      <c r="C142" s="16" t="s">
        <v>150</v>
      </c>
      <c r="D142" s="21" t="s">
        <v>69</v>
      </c>
      <c r="E142" s="1">
        <v>102070090</v>
      </c>
      <c r="F142" s="1">
        <v>657</v>
      </c>
      <c r="G142" s="1">
        <v>4</v>
      </c>
      <c r="H142" s="9">
        <f t="shared" si="12"/>
        <v>12</v>
      </c>
      <c r="I142" s="9">
        <v>12</v>
      </c>
      <c r="J142" s="6">
        <v>0</v>
      </c>
      <c r="K142" s="6">
        <f t="shared" si="13"/>
        <v>12</v>
      </c>
      <c r="L142" s="14">
        <f t="shared" si="14"/>
        <v>100</v>
      </c>
      <c r="M142" s="14">
        <f t="shared" si="15"/>
        <v>7884</v>
      </c>
      <c r="N142" s="6" t="s">
        <v>69</v>
      </c>
      <c r="O142" s="6" t="s">
        <v>69</v>
      </c>
    </row>
    <row r="143" spans="1:15" ht="25.2" x14ac:dyDescent="0.2">
      <c r="A143" s="81"/>
      <c r="B143" s="9">
        <v>19</v>
      </c>
      <c r="C143" s="16" t="s">
        <v>151</v>
      </c>
      <c r="D143" s="21" t="s">
        <v>168</v>
      </c>
      <c r="E143" s="1">
        <v>112507101</v>
      </c>
      <c r="F143" s="1">
        <v>1280</v>
      </c>
      <c r="G143" s="1">
        <v>4</v>
      </c>
      <c r="H143" s="9">
        <f t="shared" si="12"/>
        <v>12</v>
      </c>
      <c r="I143" s="9">
        <v>12</v>
      </c>
      <c r="J143" s="6">
        <v>0</v>
      </c>
      <c r="K143" s="6">
        <f t="shared" si="13"/>
        <v>12</v>
      </c>
      <c r="L143" s="14">
        <f t="shared" si="14"/>
        <v>100</v>
      </c>
      <c r="M143" s="14">
        <f t="shared" si="15"/>
        <v>15360</v>
      </c>
      <c r="N143" s="6" t="s">
        <v>69</v>
      </c>
      <c r="O143" s="6" t="s">
        <v>69</v>
      </c>
    </row>
    <row r="144" spans="1:15" x14ac:dyDescent="0.2">
      <c r="A144" s="81"/>
      <c r="B144" s="9">
        <v>20</v>
      </c>
      <c r="C144" s="16" t="s">
        <v>28</v>
      </c>
      <c r="D144" s="21" t="s">
        <v>29</v>
      </c>
      <c r="E144" s="1">
        <v>135008041</v>
      </c>
      <c r="F144" s="1">
        <v>0</v>
      </c>
      <c r="G144" s="1">
        <v>4</v>
      </c>
      <c r="H144" s="9">
        <f t="shared" si="12"/>
        <v>12</v>
      </c>
      <c r="I144" s="9">
        <v>12</v>
      </c>
      <c r="J144" s="6">
        <v>0</v>
      </c>
      <c r="K144" s="6">
        <f t="shared" si="13"/>
        <v>12</v>
      </c>
      <c r="L144" s="14">
        <f t="shared" si="14"/>
        <v>100</v>
      </c>
      <c r="M144" s="14">
        <f t="shared" si="15"/>
        <v>0</v>
      </c>
      <c r="N144" s="6" t="s">
        <v>69</v>
      </c>
      <c r="O144" s="6" t="s">
        <v>69</v>
      </c>
    </row>
    <row r="145" spans="1:15" x14ac:dyDescent="0.2">
      <c r="A145" s="81"/>
      <c r="B145" s="9">
        <v>21</v>
      </c>
      <c r="C145" s="16" t="s">
        <v>245</v>
      </c>
      <c r="D145" s="21">
        <v>10030134</v>
      </c>
      <c r="E145" s="1">
        <v>112507135</v>
      </c>
      <c r="F145" s="1">
        <v>209</v>
      </c>
      <c r="G145" s="1">
        <v>4</v>
      </c>
      <c r="H145" s="9">
        <f t="shared" si="12"/>
        <v>12</v>
      </c>
      <c r="I145" s="9">
        <v>12</v>
      </c>
      <c r="J145" s="6">
        <v>0</v>
      </c>
      <c r="K145" s="6">
        <f t="shared" si="13"/>
        <v>12</v>
      </c>
      <c r="L145" s="14">
        <f t="shared" si="14"/>
        <v>100</v>
      </c>
      <c r="M145" s="14">
        <f t="shared" si="15"/>
        <v>2508</v>
      </c>
      <c r="N145" s="6" t="s">
        <v>69</v>
      </c>
      <c r="O145" s="6" t="s">
        <v>69</v>
      </c>
    </row>
    <row r="146" spans="1:15" x14ac:dyDescent="0.2">
      <c r="A146" s="81"/>
      <c r="B146" s="9">
        <v>22</v>
      </c>
      <c r="C146" s="16" t="s">
        <v>30</v>
      </c>
      <c r="D146" s="21" t="s">
        <v>31</v>
      </c>
      <c r="E146" s="1">
        <v>112507051</v>
      </c>
      <c r="F146" s="1">
        <v>58</v>
      </c>
      <c r="G146" s="1">
        <v>2</v>
      </c>
      <c r="H146" s="9">
        <f t="shared" si="12"/>
        <v>6</v>
      </c>
      <c r="I146" s="9">
        <v>6</v>
      </c>
      <c r="J146" s="6">
        <v>0</v>
      </c>
      <c r="K146" s="6">
        <f t="shared" si="13"/>
        <v>6</v>
      </c>
      <c r="L146" s="14">
        <f t="shared" si="14"/>
        <v>100</v>
      </c>
      <c r="M146" s="14">
        <f t="shared" si="15"/>
        <v>348</v>
      </c>
      <c r="N146" s="6" t="s">
        <v>69</v>
      </c>
      <c r="O146" s="6" t="s">
        <v>69</v>
      </c>
    </row>
    <row r="147" spans="1:15" ht="25.2" x14ac:dyDescent="0.2">
      <c r="A147" s="81"/>
      <c r="B147" s="9">
        <v>23</v>
      </c>
      <c r="C147" s="16" t="s">
        <v>152</v>
      </c>
      <c r="D147" s="21">
        <v>10037342</v>
      </c>
      <c r="E147" s="1">
        <v>112507150</v>
      </c>
      <c r="F147" s="1">
        <v>0</v>
      </c>
      <c r="G147" s="1">
        <v>8</v>
      </c>
      <c r="H147" s="9">
        <f t="shared" si="12"/>
        <v>24</v>
      </c>
      <c r="I147" s="9">
        <v>24</v>
      </c>
      <c r="J147" s="6">
        <v>0</v>
      </c>
      <c r="K147" s="6">
        <f t="shared" si="13"/>
        <v>24</v>
      </c>
      <c r="L147" s="14">
        <f t="shared" si="14"/>
        <v>100</v>
      </c>
      <c r="M147" s="14">
        <f t="shared" si="15"/>
        <v>0</v>
      </c>
      <c r="N147" s="6" t="s">
        <v>69</v>
      </c>
      <c r="O147" s="6" t="s">
        <v>69</v>
      </c>
    </row>
    <row r="148" spans="1:15" ht="25.2" x14ac:dyDescent="0.2">
      <c r="A148" s="81"/>
      <c r="B148" s="9">
        <v>24</v>
      </c>
      <c r="C148" s="16" t="s">
        <v>153</v>
      </c>
      <c r="D148" s="21">
        <v>10037398</v>
      </c>
      <c r="E148" s="1">
        <v>112507149</v>
      </c>
      <c r="F148" s="1">
        <v>0</v>
      </c>
      <c r="G148" s="1">
        <v>2</v>
      </c>
      <c r="H148" s="9">
        <f t="shared" si="12"/>
        <v>6</v>
      </c>
      <c r="I148" s="9">
        <v>6</v>
      </c>
      <c r="J148" s="6">
        <v>0</v>
      </c>
      <c r="K148" s="6">
        <f t="shared" si="13"/>
        <v>6</v>
      </c>
      <c r="L148" s="14">
        <f t="shared" si="14"/>
        <v>100</v>
      </c>
      <c r="M148" s="14">
        <f t="shared" si="15"/>
        <v>0</v>
      </c>
      <c r="N148" s="6" t="s">
        <v>69</v>
      </c>
      <c r="O148" s="6" t="s">
        <v>69</v>
      </c>
    </row>
    <row r="149" spans="1:15" x14ac:dyDescent="0.2">
      <c r="A149" s="81"/>
      <c r="B149" s="9">
        <v>25</v>
      </c>
      <c r="C149" s="16" t="s">
        <v>34</v>
      </c>
      <c r="D149" s="21" t="s">
        <v>35</v>
      </c>
      <c r="E149" s="1">
        <v>112507127</v>
      </c>
      <c r="F149" s="1">
        <v>0</v>
      </c>
      <c r="G149" s="1">
        <v>2</v>
      </c>
      <c r="H149" s="9">
        <f t="shared" si="12"/>
        <v>6</v>
      </c>
      <c r="I149" s="9">
        <v>6</v>
      </c>
      <c r="J149" s="6">
        <v>0</v>
      </c>
      <c r="K149" s="6">
        <f t="shared" si="13"/>
        <v>6</v>
      </c>
      <c r="L149" s="14">
        <f t="shared" si="14"/>
        <v>100</v>
      </c>
      <c r="M149" s="14">
        <f t="shared" si="15"/>
        <v>0</v>
      </c>
      <c r="N149" s="6" t="s">
        <v>69</v>
      </c>
      <c r="O149" s="6" t="s">
        <v>69</v>
      </c>
    </row>
    <row r="150" spans="1:15" x14ac:dyDescent="0.2">
      <c r="A150" s="81"/>
      <c r="B150" s="9">
        <v>26</v>
      </c>
      <c r="C150" s="16" t="s">
        <v>154</v>
      </c>
      <c r="D150" s="21">
        <v>10374816</v>
      </c>
      <c r="E150" s="1">
        <v>112507160</v>
      </c>
      <c r="F150" s="1">
        <v>0</v>
      </c>
      <c r="G150" s="1">
        <v>2</v>
      </c>
      <c r="H150" s="9">
        <f t="shared" si="12"/>
        <v>6</v>
      </c>
      <c r="I150" s="9">
        <v>6</v>
      </c>
      <c r="J150" s="6">
        <v>0</v>
      </c>
      <c r="K150" s="6">
        <f t="shared" si="13"/>
        <v>6</v>
      </c>
      <c r="L150" s="14">
        <f t="shared" si="14"/>
        <v>100</v>
      </c>
      <c r="M150" s="14">
        <f t="shared" si="15"/>
        <v>0</v>
      </c>
      <c r="N150" s="6" t="s">
        <v>69</v>
      </c>
      <c r="O150" s="6" t="s">
        <v>69</v>
      </c>
    </row>
    <row r="151" spans="1:15" x14ac:dyDescent="0.2">
      <c r="A151" s="81"/>
      <c r="B151" s="9">
        <v>27</v>
      </c>
      <c r="C151" s="16" t="s">
        <v>155</v>
      </c>
      <c r="D151" s="21" t="s">
        <v>169</v>
      </c>
      <c r="E151" s="1">
        <v>112507136</v>
      </c>
      <c r="F151" s="1">
        <v>5859</v>
      </c>
      <c r="G151" s="1">
        <v>2</v>
      </c>
      <c r="H151" s="9">
        <f t="shared" si="12"/>
        <v>6</v>
      </c>
      <c r="I151" s="9">
        <v>6</v>
      </c>
      <c r="J151" s="6">
        <v>0</v>
      </c>
      <c r="K151" s="6">
        <f t="shared" si="13"/>
        <v>6</v>
      </c>
      <c r="L151" s="14">
        <f t="shared" si="14"/>
        <v>100</v>
      </c>
      <c r="M151" s="14">
        <f t="shared" si="15"/>
        <v>35154</v>
      </c>
      <c r="N151" s="6" t="s">
        <v>69</v>
      </c>
      <c r="O151" s="6" t="s">
        <v>69</v>
      </c>
    </row>
    <row r="152" spans="1:15" ht="25.2" x14ac:dyDescent="0.2">
      <c r="A152" s="81"/>
      <c r="B152" s="9">
        <v>28</v>
      </c>
      <c r="C152" s="17" t="s">
        <v>156</v>
      </c>
      <c r="D152" s="21" t="s">
        <v>170</v>
      </c>
      <c r="E152" s="1">
        <v>112507137</v>
      </c>
      <c r="F152" s="1">
        <v>5859</v>
      </c>
      <c r="G152" s="1">
        <v>2</v>
      </c>
      <c r="H152" s="9">
        <f t="shared" si="12"/>
        <v>6</v>
      </c>
      <c r="I152" s="9">
        <v>6</v>
      </c>
      <c r="J152" s="6">
        <v>0</v>
      </c>
      <c r="K152" s="6">
        <f t="shared" si="13"/>
        <v>6</v>
      </c>
      <c r="L152" s="14">
        <f t="shared" si="14"/>
        <v>100</v>
      </c>
      <c r="M152" s="14">
        <f t="shared" si="15"/>
        <v>35154</v>
      </c>
      <c r="N152" s="6" t="s">
        <v>69</v>
      </c>
      <c r="O152" s="6" t="s">
        <v>69</v>
      </c>
    </row>
    <row r="153" spans="1:15" x14ac:dyDescent="0.2">
      <c r="A153" s="81"/>
      <c r="B153" s="9">
        <v>29</v>
      </c>
      <c r="C153" s="16" t="s">
        <v>157</v>
      </c>
      <c r="D153" s="21">
        <v>10380090</v>
      </c>
      <c r="E153" s="1">
        <v>112507138</v>
      </c>
      <c r="F153" s="1">
        <v>12136</v>
      </c>
      <c r="G153" s="1">
        <v>2</v>
      </c>
      <c r="H153" s="9">
        <f t="shared" si="12"/>
        <v>6</v>
      </c>
      <c r="I153" s="9">
        <v>6</v>
      </c>
      <c r="J153" s="6">
        <v>0</v>
      </c>
      <c r="K153" s="6">
        <f t="shared" si="13"/>
        <v>6</v>
      </c>
      <c r="L153" s="14">
        <f t="shared" si="14"/>
        <v>100</v>
      </c>
      <c r="M153" s="14">
        <f t="shared" si="15"/>
        <v>72816</v>
      </c>
      <c r="N153" s="6" t="s">
        <v>69</v>
      </c>
      <c r="O153" s="6" t="s">
        <v>69</v>
      </c>
    </row>
    <row r="154" spans="1:15" x14ac:dyDescent="0.2">
      <c r="A154" s="81"/>
      <c r="B154" s="9">
        <v>30</v>
      </c>
      <c r="C154" s="16" t="s">
        <v>158</v>
      </c>
      <c r="D154" s="21">
        <v>10380089</v>
      </c>
      <c r="E154" s="1">
        <v>112507139</v>
      </c>
      <c r="F154" s="1">
        <v>9486</v>
      </c>
      <c r="G154" s="1">
        <v>2</v>
      </c>
      <c r="H154" s="9">
        <f t="shared" si="12"/>
        <v>6</v>
      </c>
      <c r="I154" s="9">
        <v>6</v>
      </c>
      <c r="J154" s="6">
        <v>0</v>
      </c>
      <c r="K154" s="6">
        <f t="shared" si="13"/>
        <v>6</v>
      </c>
      <c r="L154" s="14">
        <f t="shared" si="14"/>
        <v>100</v>
      </c>
      <c r="M154" s="14">
        <f t="shared" si="15"/>
        <v>56916</v>
      </c>
      <c r="N154" s="6" t="s">
        <v>69</v>
      </c>
      <c r="O154" s="6" t="s">
        <v>69</v>
      </c>
    </row>
    <row r="155" spans="1:15" x14ac:dyDescent="0.2">
      <c r="A155" s="81"/>
      <c r="B155" s="9">
        <v>31</v>
      </c>
      <c r="C155" s="17" t="s">
        <v>159</v>
      </c>
      <c r="D155" s="21">
        <v>10325207</v>
      </c>
      <c r="E155" s="1">
        <v>112507159</v>
      </c>
      <c r="F155" s="1">
        <v>0</v>
      </c>
      <c r="G155" s="1">
        <v>1</v>
      </c>
      <c r="H155" s="9">
        <f t="shared" si="12"/>
        <v>3</v>
      </c>
      <c r="I155" s="9">
        <v>3</v>
      </c>
      <c r="J155" s="6">
        <v>0</v>
      </c>
      <c r="K155" s="6">
        <f t="shared" si="13"/>
        <v>3</v>
      </c>
      <c r="L155" s="14">
        <f t="shared" si="14"/>
        <v>100</v>
      </c>
      <c r="M155" s="14">
        <f t="shared" si="15"/>
        <v>0</v>
      </c>
      <c r="N155" s="6" t="s">
        <v>69</v>
      </c>
      <c r="O155" s="6" t="s">
        <v>69</v>
      </c>
    </row>
    <row r="156" spans="1:15" x14ac:dyDescent="0.2">
      <c r="A156" s="81"/>
      <c r="B156" s="9">
        <v>32</v>
      </c>
      <c r="C156" s="16" t="s">
        <v>160</v>
      </c>
      <c r="D156" s="21" t="s">
        <v>171</v>
      </c>
      <c r="E156" s="1">
        <v>135008107</v>
      </c>
      <c r="F156" s="1">
        <v>3990</v>
      </c>
      <c r="G156" s="1">
        <v>2</v>
      </c>
      <c r="H156" s="9">
        <f t="shared" si="12"/>
        <v>6</v>
      </c>
      <c r="I156" s="9">
        <v>6</v>
      </c>
      <c r="J156" s="6">
        <v>0</v>
      </c>
      <c r="K156" s="6">
        <f t="shared" si="13"/>
        <v>6</v>
      </c>
      <c r="L156" s="14">
        <f t="shared" si="14"/>
        <v>100</v>
      </c>
      <c r="M156" s="14">
        <f t="shared" si="15"/>
        <v>23940</v>
      </c>
      <c r="N156" s="6" t="s">
        <v>69</v>
      </c>
      <c r="O156" s="6" t="s">
        <v>69</v>
      </c>
    </row>
    <row r="157" spans="1:15" ht="25.2" x14ac:dyDescent="0.2">
      <c r="A157" s="81"/>
      <c r="B157" s="9">
        <v>33</v>
      </c>
      <c r="C157" s="17" t="s">
        <v>161</v>
      </c>
      <c r="D157" s="21" t="s">
        <v>172</v>
      </c>
      <c r="E157" s="1">
        <v>135008044</v>
      </c>
      <c r="F157" s="1">
        <v>4600</v>
      </c>
      <c r="G157" s="1">
        <v>2</v>
      </c>
      <c r="H157" s="9">
        <f t="shared" si="12"/>
        <v>6</v>
      </c>
      <c r="I157" s="9">
        <v>6</v>
      </c>
      <c r="J157" s="6">
        <v>0</v>
      </c>
      <c r="K157" s="6">
        <f t="shared" si="13"/>
        <v>6</v>
      </c>
      <c r="L157" s="14">
        <f t="shared" si="14"/>
        <v>100</v>
      </c>
      <c r="M157" s="14">
        <f t="shared" si="15"/>
        <v>27600</v>
      </c>
      <c r="N157" s="6" t="s">
        <v>69</v>
      </c>
      <c r="O157" s="6" t="s">
        <v>69</v>
      </c>
    </row>
    <row r="158" spans="1:15" x14ac:dyDescent="0.2">
      <c r="A158" s="81"/>
      <c r="B158" s="9">
        <v>34</v>
      </c>
      <c r="C158" s="17" t="s">
        <v>162</v>
      </c>
      <c r="D158" s="21" t="s">
        <v>69</v>
      </c>
      <c r="E158" s="1" t="s">
        <v>174</v>
      </c>
      <c r="F158" s="1">
        <v>0</v>
      </c>
      <c r="G158" s="1">
        <v>2</v>
      </c>
      <c r="H158" s="9">
        <f t="shared" si="12"/>
        <v>6</v>
      </c>
      <c r="I158" s="9">
        <v>6</v>
      </c>
      <c r="J158" s="6">
        <v>0</v>
      </c>
      <c r="K158" s="6">
        <f t="shared" si="13"/>
        <v>6</v>
      </c>
      <c r="L158" s="14">
        <f t="shared" si="14"/>
        <v>100</v>
      </c>
      <c r="M158" s="14">
        <f t="shared" si="15"/>
        <v>0</v>
      </c>
      <c r="N158" s="6" t="s">
        <v>69</v>
      </c>
      <c r="O158" s="6" t="s">
        <v>69</v>
      </c>
    </row>
    <row r="159" spans="1:15" x14ac:dyDescent="0.2">
      <c r="A159" s="81"/>
      <c r="B159" s="9">
        <v>35</v>
      </c>
      <c r="C159" s="17" t="s">
        <v>163</v>
      </c>
      <c r="D159" s="21" t="s">
        <v>69</v>
      </c>
      <c r="E159" s="1" t="s">
        <v>174</v>
      </c>
      <c r="F159" s="1">
        <v>0</v>
      </c>
      <c r="G159" s="1">
        <v>2</v>
      </c>
      <c r="H159" s="9">
        <f t="shared" si="12"/>
        <v>6</v>
      </c>
      <c r="I159" s="9">
        <v>6</v>
      </c>
      <c r="J159" s="6">
        <v>0</v>
      </c>
      <c r="K159" s="6">
        <f t="shared" si="13"/>
        <v>6</v>
      </c>
      <c r="L159" s="14">
        <f t="shared" si="14"/>
        <v>100</v>
      </c>
      <c r="M159" s="14">
        <f t="shared" si="15"/>
        <v>0</v>
      </c>
      <c r="N159" s="6" t="s">
        <v>69</v>
      </c>
      <c r="O159" s="6" t="s">
        <v>69</v>
      </c>
    </row>
    <row r="160" spans="1:15" ht="25.2" x14ac:dyDescent="0.2">
      <c r="A160" s="82"/>
      <c r="B160" s="9">
        <v>36</v>
      </c>
      <c r="C160" s="17" t="s">
        <v>164</v>
      </c>
      <c r="D160" s="21" t="s">
        <v>173</v>
      </c>
      <c r="E160" s="1">
        <v>135008111</v>
      </c>
      <c r="F160" s="1">
        <v>0</v>
      </c>
      <c r="G160" s="1">
        <v>2</v>
      </c>
      <c r="H160" s="9">
        <f t="shared" si="12"/>
        <v>6</v>
      </c>
      <c r="I160" s="9">
        <v>6</v>
      </c>
      <c r="J160" s="6">
        <v>0</v>
      </c>
      <c r="K160" s="6">
        <f t="shared" si="13"/>
        <v>6</v>
      </c>
      <c r="L160" s="14">
        <f t="shared" si="14"/>
        <v>100</v>
      </c>
      <c r="M160" s="14">
        <f t="shared" si="15"/>
        <v>0</v>
      </c>
      <c r="N160" s="6" t="s">
        <v>69</v>
      </c>
      <c r="O160" s="6" t="s">
        <v>69</v>
      </c>
    </row>
    <row r="161" spans="1:15" x14ac:dyDescent="0.2">
      <c r="B161" s="9"/>
      <c r="C161" s="2"/>
      <c r="D161" s="2"/>
      <c r="E161" s="1"/>
      <c r="F161" s="1"/>
      <c r="G161" s="9"/>
      <c r="H161" s="9"/>
    </row>
    <row r="162" spans="1:15" ht="12.6" customHeight="1" x14ac:dyDescent="0.2">
      <c r="A162" s="80" t="s">
        <v>175</v>
      </c>
      <c r="B162" s="66" t="s">
        <v>1</v>
      </c>
      <c r="C162" s="66" t="s">
        <v>0</v>
      </c>
      <c r="D162" s="66" t="s">
        <v>2</v>
      </c>
      <c r="E162" s="70" t="s">
        <v>3</v>
      </c>
      <c r="F162" s="70" t="s">
        <v>66</v>
      </c>
      <c r="G162" s="66" t="s">
        <v>4</v>
      </c>
      <c r="H162" s="78" t="s">
        <v>269</v>
      </c>
      <c r="I162" s="66" t="s">
        <v>250</v>
      </c>
      <c r="J162" s="66" t="s">
        <v>61</v>
      </c>
      <c r="K162" s="66" t="s">
        <v>62</v>
      </c>
      <c r="L162" s="78" t="s">
        <v>68</v>
      </c>
      <c r="M162" s="78" t="s">
        <v>65</v>
      </c>
      <c r="N162" s="66" t="s">
        <v>267</v>
      </c>
      <c r="O162" s="66" t="s">
        <v>230</v>
      </c>
    </row>
    <row r="163" spans="1:15" ht="25.2" customHeight="1" x14ac:dyDescent="0.2">
      <c r="A163" s="81"/>
      <c r="B163" s="66"/>
      <c r="C163" s="66"/>
      <c r="D163" s="66"/>
      <c r="E163" s="70"/>
      <c r="F163" s="70"/>
      <c r="G163" s="66"/>
      <c r="H163" s="77"/>
      <c r="I163" s="66"/>
      <c r="J163" s="66"/>
      <c r="K163" s="66"/>
      <c r="L163" s="77"/>
      <c r="M163" s="77"/>
      <c r="N163" s="66"/>
      <c r="O163" s="66"/>
    </row>
    <row r="164" spans="1:15" x14ac:dyDescent="0.2">
      <c r="A164" s="81"/>
      <c r="B164" s="9">
        <v>1</v>
      </c>
      <c r="C164" s="10" t="s">
        <v>176</v>
      </c>
      <c r="D164" s="10">
        <v>10316547</v>
      </c>
      <c r="E164" s="10">
        <v>112507126</v>
      </c>
      <c r="F164" s="1">
        <v>0</v>
      </c>
      <c r="G164" s="1">
        <v>1</v>
      </c>
      <c r="H164" s="9">
        <f>I164</f>
        <v>6</v>
      </c>
      <c r="I164" s="6">
        <v>6</v>
      </c>
      <c r="J164" s="6">
        <v>0</v>
      </c>
      <c r="K164" s="6">
        <f>I164-J164</f>
        <v>6</v>
      </c>
      <c r="L164" s="14">
        <f>K164/I164*100</f>
        <v>100</v>
      </c>
      <c r="M164" s="14">
        <f>K164*F164</f>
        <v>0</v>
      </c>
      <c r="N164" s="6" t="s">
        <v>69</v>
      </c>
      <c r="O164" s="6" t="s">
        <v>69</v>
      </c>
    </row>
    <row r="165" spans="1:15" x14ac:dyDescent="0.2">
      <c r="A165" s="81"/>
      <c r="B165" s="9">
        <v>2</v>
      </c>
      <c r="C165" s="10" t="s">
        <v>177</v>
      </c>
      <c r="D165" s="10">
        <v>10239025</v>
      </c>
      <c r="E165" s="10">
        <v>112507125</v>
      </c>
      <c r="F165" s="1">
        <v>21049</v>
      </c>
      <c r="G165" s="1">
        <v>1</v>
      </c>
      <c r="H165" s="9">
        <f t="shared" ref="H165:H197" si="16">I165</f>
        <v>6</v>
      </c>
      <c r="I165" s="6">
        <v>6</v>
      </c>
      <c r="J165" s="6">
        <v>0</v>
      </c>
      <c r="K165" s="6">
        <f t="shared" ref="K165:K197" si="17">I165-J165</f>
        <v>6</v>
      </c>
      <c r="L165" s="14">
        <f t="shared" ref="L165:L197" si="18">K165/I165*100</f>
        <v>100</v>
      </c>
      <c r="M165" s="14">
        <f t="shared" ref="M165:M197" si="19">K165*F165</f>
        <v>126294</v>
      </c>
      <c r="N165" s="6" t="s">
        <v>69</v>
      </c>
      <c r="O165" s="6" t="s">
        <v>69</v>
      </c>
    </row>
    <row r="166" spans="1:15" x14ac:dyDescent="0.2">
      <c r="A166" s="81"/>
      <c r="B166" s="9">
        <v>3</v>
      </c>
      <c r="C166" s="10" t="s">
        <v>177</v>
      </c>
      <c r="D166" s="10">
        <v>10239024</v>
      </c>
      <c r="E166" s="10">
        <v>112507124</v>
      </c>
      <c r="F166" s="1">
        <v>21049</v>
      </c>
      <c r="G166" s="1">
        <v>1</v>
      </c>
      <c r="H166" s="9">
        <f t="shared" si="16"/>
        <v>6</v>
      </c>
      <c r="I166" s="6">
        <v>6</v>
      </c>
      <c r="J166" s="6">
        <v>0</v>
      </c>
      <c r="K166" s="6">
        <f t="shared" si="17"/>
        <v>6</v>
      </c>
      <c r="L166" s="14">
        <f t="shared" si="18"/>
        <v>100</v>
      </c>
      <c r="M166" s="14">
        <f t="shared" si="19"/>
        <v>126294</v>
      </c>
      <c r="N166" s="6" t="s">
        <v>69</v>
      </c>
      <c r="O166" s="6" t="s">
        <v>69</v>
      </c>
    </row>
    <row r="167" spans="1:15" x14ac:dyDescent="0.2">
      <c r="A167" s="81"/>
      <c r="B167" s="9">
        <v>4</v>
      </c>
      <c r="C167" s="10" t="s">
        <v>8</v>
      </c>
      <c r="D167" s="10" t="s">
        <v>194</v>
      </c>
      <c r="E167" s="10">
        <v>112507106</v>
      </c>
      <c r="F167" s="1">
        <v>1280</v>
      </c>
      <c r="G167" s="1">
        <v>2</v>
      </c>
      <c r="H167" s="9">
        <f t="shared" si="16"/>
        <v>12</v>
      </c>
      <c r="I167" s="6">
        <v>12</v>
      </c>
      <c r="J167" s="6">
        <v>0</v>
      </c>
      <c r="K167" s="6">
        <f t="shared" si="17"/>
        <v>12</v>
      </c>
      <c r="L167" s="14">
        <f t="shared" si="18"/>
        <v>100</v>
      </c>
      <c r="M167" s="14">
        <f t="shared" si="19"/>
        <v>15360</v>
      </c>
      <c r="N167" s="6" t="s">
        <v>69</v>
      </c>
      <c r="O167" s="6" t="s">
        <v>69</v>
      </c>
    </row>
    <row r="168" spans="1:15" x14ac:dyDescent="0.2">
      <c r="A168" s="81"/>
      <c r="B168" s="9">
        <v>5</v>
      </c>
      <c r="C168" s="10" t="s">
        <v>10</v>
      </c>
      <c r="D168" s="10">
        <v>10212276</v>
      </c>
      <c r="E168" s="10">
        <v>112507103</v>
      </c>
      <c r="F168" s="1">
        <v>414</v>
      </c>
      <c r="G168" s="1">
        <v>4</v>
      </c>
      <c r="H168" s="9">
        <f t="shared" si="16"/>
        <v>24</v>
      </c>
      <c r="I168" s="6">
        <v>24</v>
      </c>
      <c r="J168" s="6">
        <v>0</v>
      </c>
      <c r="K168" s="6">
        <f t="shared" si="17"/>
        <v>24</v>
      </c>
      <c r="L168" s="14">
        <f t="shared" si="18"/>
        <v>100</v>
      </c>
      <c r="M168" s="14">
        <f t="shared" si="19"/>
        <v>9936</v>
      </c>
      <c r="N168" s="6" t="s">
        <v>69</v>
      </c>
      <c r="O168" s="6" t="s">
        <v>69</v>
      </c>
    </row>
    <row r="169" spans="1:15" ht="25.2" x14ac:dyDescent="0.2">
      <c r="A169" s="81"/>
      <c r="B169" s="9">
        <v>6</v>
      </c>
      <c r="C169" s="10" t="s">
        <v>178</v>
      </c>
      <c r="D169" s="10">
        <v>10032267</v>
      </c>
      <c r="E169" s="10">
        <v>112507111</v>
      </c>
      <c r="F169" s="1">
        <v>7842</v>
      </c>
      <c r="G169" s="1">
        <v>1</v>
      </c>
      <c r="H169" s="9">
        <f t="shared" si="16"/>
        <v>6</v>
      </c>
      <c r="I169" s="6">
        <v>6</v>
      </c>
      <c r="J169" s="6">
        <v>0</v>
      </c>
      <c r="K169" s="6">
        <f t="shared" si="17"/>
        <v>6</v>
      </c>
      <c r="L169" s="14">
        <f t="shared" si="18"/>
        <v>100</v>
      </c>
      <c r="M169" s="14">
        <f t="shared" si="19"/>
        <v>47052</v>
      </c>
      <c r="N169" s="6" t="s">
        <v>69</v>
      </c>
      <c r="O169" s="6" t="s">
        <v>69</v>
      </c>
    </row>
    <row r="170" spans="1:15" ht="25.2" x14ac:dyDescent="0.2">
      <c r="A170" s="81"/>
      <c r="B170" s="9">
        <v>7</v>
      </c>
      <c r="C170" s="10" t="s">
        <v>178</v>
      </c>
      <c r="D170" s="10">
        <v>10032268</v>
      </c>
      <c r="E170" s="10">
        <v>112507112</v>
      </c>
      <c r="F170" s="1">
        <v>7842</v>
      </c>
      <c r="G170" s="1">
        <v>1</v>
      </c>
      <c r="H170" s="9">
        <f t="shared" si="16"/>
        <v>6</v>
      </c>
      <c r="I170" s="6">
        <v>6</v>
      </c>
      <c r="J170" s="6">
        <v>0</v>
      </c>
      <c r="K170" s="6">
        <f t="shared" si="17"/>
        <v>6</v>
      </c>
      <c r="L170" s="14">
        <f t="shared" si="18"/>
        <v>100</v>
      </c>
      <c r="M170" s="14">
        <f t="shared" si="19"/>
        <v>47052</v>
      </c>
      <c r="N170" s="6" t="s">
        <v>69</v>
      </c>
      <c r="O170" s="6" t="s">
        <v>69</v>
      </c>
    </row>
    <row r="171" spans="1:15" x14ac:dyDescent="0.2">
      <c r="A171" s="81"/>
      <c r="B171" s="9">
        <v>8</v>
      </c>
      <c r="C171" s="10" t="s">
        <v>13</v>
      </c>
      <c r="D171" s="10" t="s">
        <v>195</v>
      </c>
      <c r="E171" s="10">
        <v>112507123</v>
      </c>
      <c r="F171" s="1">
        <v>551</v>
      </c>
      <c r="G171" s="1">
        <v>2</v>
      </c>
      <c r="H171" s="9">
        <f t="shared" si="16"/>
        <v>12</v>
      </c>
      <c r="I171" s="6">
        <v>12</v>
      </c>
      <c r="J171" s="6">
        <v>0</v>
      </c>
      <c r="K171" s="6">
        <f t="shared" si="17"/>
        <v>12</v>
      </c>
      <c r="L171" s="14">
        <f t="shared" si="18"/>
        <v>100</v>
      </c>
      <c r="M171" s="14">
        <f t="shared" si="19"/>
        <v>6612</v>
      </c>
      <c r="N171" s="6" t="s">
        <v>69</v>
      </c>
      <c r="O171" s="6" t="s">
        <v>69</v>
      </c>
    </row>
    <row r="172" spans="1:15" x14ac:dyDescent="0.2">
      <c r="A172" s="81"/>
      <c r="B172" s="9">
        <v>9</v>
      </c>
      <c r="C172" s="10" t="s">
        <v>15</v>
      </c>
      <c r="D172" s="10">
        <v>10036484</v>
      </c>
      <c r="E172" s="10">
        <v>112507105</v>
      </c>
      <c r="F172" s="1">
        <v>276</v>
      </c>
      <c r="G172" s="1">
        <v>2</v>
      </c>
      <c r="H172" s="9">
        <f t="shared" si="16"/>
        <v>12</v>
      </c>
      <c r="I172" s="6">
        <v>12</v>
      </c>
      <c r="J172" s="6">
        <v>0</v>
      </c>
      <c r="K172" s="6">
        <f t="shared" si="17"/>
        <v>12</v>
      </c>
      <c r="L172" s="14">
        <f t="shared" si="18"/>
        <v>100</v>
      </c>
      <c r="M172" s="14">
        <f t="shared" si="19"/>
        <v>3312</v>
      </c>
      <c r="N172" s="6" t="s">
        <v>69</v>
      </c>
      <c r="O172" s="6" t="s">
        <v>69</v>
      </c>
    </row>
    <row r="173" spans="1:15" ht="25.2" x14ac:dyDescent="0.2">
      <c r="A173" s="81"/>
      <c r="B173" s="9">
        <v>10</v>
      </c>
      <c r="C173" s="10" t="s">
        <v>179</v>
      </c>
      <c r="D173" s="10" t="s">
        <v>196</v>
      </c>
      <c r="E173" s="10">
        <v>112507102</v>
      </c>
      <c r="F173" s="1">
        <v>750</v>
      </c>
      <c r="G173" s="1">
        <v>4</v>
      </c>
      <c r="H173" s="9">
        <f t="shared" si="16"/>
        <v>24</v>
      </c>
      <c r="I173" s="6">
        <v>24</v>
      </c>
      <c r="J173" s="6">
        <v>0</v>
      </c>
      <c r="K173" s="6">
        <f t="shared" si="17"/>
        <v>24</v>
      </c>
      <c r="L173" s="14">
        <f t="shared" si="18"/>
        <v>100</v>
      </c>
      <c r="M173" s="14">
        <f t="shared" si="19"/>
        <v>18000</v>
      </c>
      <c r="N173" s="6" t="s">
        <v>69</v>
      </c>
      <c r="O173" s="6" t="s">
        <v>69</v>
      </c>
    </row>
    <row r="174" spans="1:15" x14ac:dyDescent="0.2">
      <c r="A174" s="81"/>
      <c r="B174" s="9">
        <v>11</v>
      </c>
      <c r="C174" s="10" t="s">
        <v>18</v>
      </c>
      <c r="D174" s="10" t="s">
        <v>197</v>
      </c>
      <c r="E174" s="10">
        <v>112507104</v>
      </c>
      <c r="F174" s="1">
        <v>459</v>
      </c>
      <c r="G174" s="1">
        <v>4</v>
      </c>
      <c r="H174" s="9">
        <f t="shared" si="16"/>
        <v>24</v>
      </c>
      <c r="I174" s="6">
        <v>24</v>
      </c>
      <c r="J174" s="6">
        <v>0</v>
      </c>
      <c r="K174" s="6">
        <f t="shared" si="17"/>
        <v>24</v>
      </c>
      <c r="L174" s="14">
        <f t="shared" si="18"/>
        <v>100</v>
      </c>
      <c r="M174" s="14">
        <f t="shared" si="19"/>
        <v>11016</v>
      </c>
      <c r="N174" s="6" t="s">
        <v>69</v>
      </c>
      <c r="O174" s="6" t="s">
        <v>69</v>
      </c>
    </row>
    <row r="175" spans="1:15" ht="25.2" x14ac:dyDescent="0.2">
      <c r="A175" s="81"/>
      <c r="B175" s="9">
        <v>12</v>
      </c>
      <c r="C175" s="10" t="s">
        <v>20</v>
      </c>
      <c r="D175" s="10" t="s">
        <v>198</v>
      </c>
      <c r="E175" s="10">
        <v>112507113</v>
      </c>
      <c r="F175" s="1">
        <v>276</v>
      </c>
      <c r="G175" s="1">
        <v>2</v>
      </c>
      <c r="H175" s="9">
        <f t="shared" si="16"/>
        <v>12</v>
      </c>
      <c r="I175" s="6">
        <v>12</v>
      </c>
      <c r="J175" s="6">
        <v>0</v>
      </c>
      <c r="K175" s="6">
        <f t="shared" si="17"/>
        <v>12</v>
      </c>
      <c r="L175" s="14">
        <f t="shared" si="18"/>
        <v>100</v>
      </c>
      <c r="M175" s="14">
        <f t="shared" si="19"/>
        <v>3312</v>
      </c>
      <c r="N175" s="6" t="s">
        <v>69</v>
      </c>
      <c r="O175" s="6" t="s">
        <v>69</v>
      </c>
    </row>
    <row r="176" spans="1:15" x14ac:dyDescent="0.2">
      <c r="A176" s="81"/>
      <c r="B176" s="9">
        <v>13</v>
      </c>
      <c r="C176" s="10" t="s">
        <v>22</v>
      </c>
      <c r="D176" s="10" t="s">
        <v>199</v>
      </c>
      <c r="E176" s="10">
        <v>112507122</v>
      </c>
      <c r="F176" s="1">
        <v>254</v>
      </c>
      <c r="G176" s="1">
        <v>2</v>
      </c>
      <c r="H176" s="9">
        <f t="shared" si="16"/>
        <v>12</v>
      </c>
      <c r="I176" s="6">
        <v>12</v>
      </c>
      <c r="J176" s="6">
        <v>0</v>
      </c>
      <c r="K176" s="6">
        <f t="shared" si="17"/>
        <v>12</v>
      </c>
      <c r="L176" s="14">
        <f t="shared" si="18"/>
        <v>100</v>
      </c>
      <c r="M176" s="14">
        <f t="shared" si="19"/>
        <v>3048</v>
      </c>
      <c r="N176" s="6" t="s">
        <v>69</v>
      </c>
      <c r="O176" s="6" t="s">
        <v>69</v>
      </c>
    </row>
    <row r="177" spans="1:15" x14ac:dyDescent="0.2">
      <c r="A177" s="81"/>
      <c r="B177" s="9">
        <v>14</v>
      </c>
      <c r="C177" s="10" t="s">
        <v>180</v>
      </c>
      <c r="D177" s="10" t="s">
        <v>200</v>
      </c>
      <c r="E177" s="10"/>
      <c r="F177" s="1"/>
      <c r="G177" s="1">
        <v>4</v>
      </c>
      <c r="H177" s="9">
        <f t="shared" si="16"/>
        <v>24</v>
      </c>
      <c r="I177" s="6">
        <v>24</v>
      </c>
      <c r="J177" s="6">
        <v>0</v>
      </c>
      <c r="K177" s="6">
        <f t="shared" si="17"/>
        <v>24</v>
      </c>
      <c r="L177" s="14">
        <f t="shared" si="18"/>
        <v>100</v>
      </c>
      <c r="M177" s="14">
        <f t="shared" si="19"/>
        <v>0</v>
      </c>
      <c r="N177" s="6" t="s">
        <v>69</v>
      </c>
      <c r="O177" s="6" t="s">
        <v>69</v>
      </c>
    </row>
    <row r="178" spans="1:15" ht="25.2" x14ac:dyDescent="0.2">
      <c r="A178" s="81"/>
      <c r="B178" s="9">
        <v>15</v>
      </c>
      <c r="C178" s="10" t="s">
        <v>26</v>
      </c>
      <c r="D178" s="10" t="s">
        <v>27</v>
      </c>
      <c r="E178" s="10">
        <v>112507101</v>
      </c>
      <c r="F178" s="1">
        <v>1280</v>
      </c>
      <c r="G178" s="1">
        <v>4</v>
      </c>
      <c r="H178" s="9">
        <f t="shared" si="16"/>
        <v>24</v>
      </c>
      <c r="I178" s="6">
        <v>24</v>
      </c>
      <c r="J178" s="6">
        <v>0</v>
      </c>
      <c r="K178" s="6">
        <f t="shared" si="17"/>
        <v>24</v>
      </c>
      <c r="L178" s="14">
        <f t="shared" si="18"/>
        <v>100</v>
      </c>
      <c r="M178" s="14">
        <f t="shared" si="19"/>
        <v>30720</v>
      </c>
      <c r="N178" s="6" t="s">
        <v>69</v>
      </c>
      <c r="O178" s="6" t="s">
        <v>69</v>
      </c>
    </row>
    <row r="179" spans="1:15" x14ac:dyDescent="0.2">
      <c r="A179" s="81"/>
      <c r="B179" s="9">
        <v>16</v>
      </c>
      <c r="C179" s="10" t="s">
        <v>28</v>
      </c>
      <c r="D179" s="10" t="s">
        <v>29</v>
      </c>
      <c r="E179" s="10">
        <v>135008040</v>
      </c>
      <c r="F179" s="1">
        <v>95</v>
      </c>
      <c r="G179" s="1">
        <v>4</v>
      </c>
      <c r="H179" s="9">
        <f t="shared" si="16"/>
        <v>24</v>
      </c>
      <c r="I179" s="6">
        <v>24</v>
      </c>
      <c r="J179" s="6">
        <v>0</v>
      </c>
      <c r="K179" s="6">
        <f t="shared" si="17"/>
        <v>24</v>
      </c>
      <c r="L179" s="14">
        <f t="shared" si="18"/>
        <v>100</v>
      </c>
      <c r="M179" s="14">
        <f t="shared" si="19"/>
        <v>2280</v>
      </c>
      <c r="N179" s="6" t="s">
        <v>69</v>
      </c>
      <c r="O179" s="6" t="s">
        <v>69</v>
      </c>
    </row>
    <row r="180" spans="1:15" x14ac:dyDescent="0.2">
      <c r="A180" s="81"/>
      <c r="B180" s="9">
        <v>17</v>
      </c>
      <c r="C180" s="10" t="s">
        <v>63</v>
      </c>
      <c r="D180" s="10">
        <v>10030135</v>
      </c>
      <c r="E180" s="10">
        <v>112507121</v>
      </c>
      <c r="F180" s="1">
        <v>0</v>
      </c>
      <c r="G180" s="1">
        <v>4</v>
      </c>
      <c r="H180" s="9">
        <f t="shared" si="16"/>
        <v>24</v>
      </c>
      <c r="I180" s="6">
        <v>24</v>
      </c>
      <c r="J180" s="6">
        <v>0</v>
      </c>
      <c r="K180" s="6">
        <f t="shared" si="17"/>
        <v>24</v>
      </c>
      <c r="L180" s="14">
        <f t="shared" si="18"/>
        <v>100</v>
      </c>
      <c r="M180" s="14">
        <f t="shared" si="19"/>
        <v>0</v>
      </c>
      <c r="N180" s="6" t="s">
        <v>69</v>
      </c>
      <c r="O180" s="6" t="s">
        <v>69</v>
      </c>
    </row>
    <row r="181" spans="1:15" x14ac:dyDescent="0.2">
      <c r="A181" s="81"/>
      <c r="B181" s="9">
        <v>18</v>
      </c>
      <c r="C181" s="10" t="s">
        <v>30</v>
      </c>
      <c r="D181" s="10" t="s">
        <v>31</v>
      </c>
      <c r="E181" s="10">
        <v>112507051</v>
      </c>
      <c r="F181" s="1">
        <v>58</v>
      </c>
      <c r="G181" s="1">
        <v>2</v>
      </c>
      <c r="H181" s="9">
        <f t="shared" si="16"/>
        <v>12</v>
      </c>
      <c r="I181" s="6">
        <v>12</v>
      </c>
      <c r="J181" s="6">
        <v>0</v>
      </c>
      <c r="K181" s="6">
        <f t="shared" si="17"/>
        <v>12</v>
      </c>
      <c r="L181" s="14">
        <f t="shared" si="18"/>
        <v>100</v>
      </c>
      <c r="M181" s="14">
        <f t="shared" si="19"/>
        <v>696</v>
      </c>
      <c r="N181" s="6" t="s">
        <v>69</v>
      </c>
      <c r="O181" s="6" t="s">
        <v>69</v>
      </c>
    </row>
    <row r="182" spans="1:15" ht="25.2" x14ac:dyDescent="0.2">
      <c r="A182" s="81"/>
      <c r="B182" s="9">
        <v>19</v>
      </c>
      <c r="C182" s="10" t="s">
        <v>32</v>
      </c>
      <c r="D182" s="10">
        <v>10280786</v>
      </c>
      <c r="E182" s="10">
        <v>112507120</v>
      </c>
      <c r="F182" s="1">
        <v>0</v>
      </c>
      <c r="G182" s="1">
        <v>12</v>
      </c>
      <c r="H182" s="9">
        <f t="shared" si="16"/>
        <v>72</v>
      </c>
      <c r="I182" s="6">
        <v>72</v>
      </c>
      <c r="J182" s="6">
        <v>0</v>
      </c>
      <c r="K182" s="6">
        <f t="shared" si="17"/>
        <v>72</v>
      </c>
      <c r="L182" s="14">
        <f t="shared" si="18"/>
        <v>100</v>
      </c>
      <c r="M182" s="14">
        <f t="shared" si="19"/>
        <v>0</v>
      </c>
      <c r="N182" s="6" t="s">
        <v>69</v>
      </c>
      <c r="O182" s="6" t="s">
        <v>69</v>
      </c>
    </row>
    <row r="183" spans="1:15" ht="25.2" x14ac:dyDescent="0.2">
      <c r="A183" s="81"/>
      <c r="B183" s="9">
        <v>20</v>
      </c>
      <c r="C183" s="10" t="s">
        <v>33</v>
      </c>
      <c r="D183" s="10">
        <v>10068902</v>
      </c>
      <c r="E183" s="10">
        <v>112507119</v>
      </c>
      <c r="F183" s="1">
        <v>0</v>
      </c>
      <c r="G183" s="1">
        <v>2</v>
      </c>
      <c r="H183" s="9">
        <f t="shared" si="16"/>
        <v>12</v>
      </c>
      <c r="I183" s="6">
        <v>12</v>
      </c>
      <c r="J183" s="6">
        <v>0</v>
      </c>
      <c r="K183" s="6">
        <f t="shared" si="17"/>
        <v>12</v>
      </c>
      <c r="L183" s="14">
        <f t="shared" si="18"/>
        <v>100</v>
      </c>
      <c r="M183" s="14">
        <f t="shared" si="19"/>
        <v>0</v>
      </c>
      <c r="N183" s="6" t="s">
        <v>69</v>
      </c>
      <c r="O183" s="6" t="s">
        <v>69</v>
      </c>
    </row>
    <row r="184" spans="1:15" x14ac:dyDescent="0.2">
      <c r="A184" s="81"/>
      <c r="B184" s="9">
        <v>21</v>
      </c>
      <c r="C184" s="10" t="s">
        <v>34</v>
      </c>
      <c r="D184" s="10" t="s">
        <v>35</v>
      </c>
      <c r="E184" s="10">
        <v>112507127</v>
      </c>
      <c r="F184" s="1">
        <v>0</v>
      </c>
      <c r="G184" s="1">
        <v>2</v>
      </c>
      <c r="H184" s="9">
        <f t="shared" si="16"/>
        <v>12</v>
      </c>
      <c r="I184" s="6">
        <v>12</v>
      </c>
      <c r="J184" s="6">
        <v>0</v>
      </c>
      <c r="K184" s="6">
        <f t="shared" si="17"/>
        <v>12</v>
      </c>
      <c r="L184" s="14">
        <f t="shared" si="18"/>
        <v>100</v>
      </c>
      <c r="M184" s="14">
        <f t="shared" si="19"/>
        <v>0</v>
      </c>
      <c r="N184" s="6" t="s">
        <v>69</v>
      </c>
      <c r="O184" s="6" t="s">
        <v>69</v>
      </c>
    </row>
    <row r="185" spans="1:15" x14ac:dyDescent="0.2">
      <c r="A185" s="81"/>
      <c r="B185" s="9">
        <v>22</v>
      </c>
      <c r="C185" s="10" t="s">
        <v>181</v>
      </c>
      <c r="D185" s="10">
        <v>10357770</v>
      </c>
      <c r="E185" s="10">
        <v>112507100</v>
      </c>
      <c r="F185" s="1">
        <v>28050</v>
      </c>
      <c r="G185" s="1">
        <v>2</v>
      </c>
      <c r="H185" s="9">
        <f t="shared" si="16"/>
        <v>12</v>
      </c>
      <c r="I185" s="6">
        <v>12</v>
      </c>
      <c r="J185" s="6">
        <v>0</v>
      </c>
      <c r="K185" s="6">
        <f t="shared" si="17"/>
        <v>12</v>
      </c>
      <c r="L185" s="14">
        <f t="shared" si="18"/>
        <v>100</v>
      </c>
      <c r="M185" s="14">
        <f t="shared" si="19"/>
        <v>336600</v>
      </c>
      <c r="N185" s="6" t="s">
        <v>69</v>
      </c>
      <c r="O185" s="6" t="s">
        <v>69</v>
      </c>
    </row>
    <row r="186" spans="1:15" x14ac:dyDescent="0.2">
      <c r="A186" s="81"/>
      <c r="B186" s="9">
        <v>23</v>
      </c>
      <c r="C186" s="10" t="s">
        <v>182</v>
      </c>
      <c r="D186" s="10" t="s">
        <v>201</v>
      </c>
      <c r="E186" s="10">
        <v>112507107</v>
      </c>
      <c r="F186" s="1">
        <v>7323</v>
      </c>
      <c r="G186" s="1">
        <v>2</v>
      </c>
      <c r="H186" s="9">
        <f t="shared" si="16"/>
        <v>6</v>
      </c>
      <c r="I186" s="6">
        <v>6</v>
      </c>
      <c r="J186" s="6">
        <v>0</v>
      </c>
      <c r="K186" s="6">
        <f t="shared" si="17"/>
        <v>6</v>
      </c>
      <c r="L186" s="14">
        <f t="shared" si="18"/>
        <v>100</v>
      </c>
      <c r="M186" s="14">
        <f t="shared" si="19"/>
        <v>43938</v>
      </c>
      <c r="N186" s="6" t="s">
        <v>69</v>
      </c>
      <c r="O186" s="6" t="s">
        <v>69</v>
      </c>
    </row>
    <row r="187" spans="1:15" x14ac:dyDescent="0.2">
      <c r="A187" s="81"/>
      <c r="B187" s="9">
        <v>24</v>
      </c>
      <c r="C187" s="11" t="s">
        <v>183</v>
      </c>
      <c r="D187" s="10" t="s">
        <v>202</v>
      </c>
      <c r="E187" s="10">
        <v>112507108</v>
      </c>
      <c r="F187" s="1">
        <v>7323</v>
      </c>
      <c r="G187" s="1">
        <v>2</v>
      </c>
      <c r="H187" s="9">
        <f t="shared" si="16"/>
        <v>6</v>
      </c>
      <c r="I187" s="6">
        <v>6</v>
      </c>
      <c r="J187" s="6">
        <v>0</v>
      </c>
      <c r="K187" s="6">
        <f t="shared" si="17"/>
        <v>6</v>
      </c>
      <c r="L187" s="14">
        <f t="shared" si="18"/>
        <v>100</v>
      </c>
      <c r="M187" s="14">
        <f t="shared" si="19"/>
        <v>43938</v>
      </c>
      <c r="N187" s="6" t="s">
        <v>69</v>
      </c>
      <c r="O187" s="6" t="s">
        <v>69</v>
      </c>
    </row>
    <row r="188" spans="1:15" x14ac:dyDescent="0.2">
      <c r="A188" s="81"/>
      <c r="B188" s="9">
        <v>25</v>
      </c>
      <c r="C188" s="10" t="s">
        <v>184</v>
      </c>
      <c r="D188" s="10" t="s">
        <v>203</v>
      </c>
      <c r="E188" s="10">
        <v>112507109</v>
      </c>
      <c r="F188" s="1">
        <v>7730</v>
      </c>
      <c r="G188" s="1">
        <v>2</v>
      </c>
      <c r="H188" s="9">
        <f t="shared" si="16"/>
        <v>6</v>
      </c>
      <c r="I188" s="6">
        <v>6</v>
      </c>
      <c r="J188" s="6">
        <v>0</v>
      </c>
      <c r="K188" s="6">
        <f t="shared" si="17"/>
        <v>6</v>
      </c>
      <c r="L188" s="14">
        <f t="shared" si="18"/>
        <v>100</v>
      </c>
      <c r="M188" s="14">
        <f t="shared" si="19"/>
        <v>46380</v>
      </c>
      <c r="N188" s="6" t="s">
        <v>69</v>
      </c>
      <c r="O188" s="6" t="s">
        <v>69</v>
      </c>
    </row>
    <row r="189" spans="1:15" x14ac:dyDescent="0.2">
      <c r="A189" s="81"/>
      <c r="B189" s="9">
        <v>26</v>
      </c>
      <c r="C189" s="11" t="s">
        <v>185</v>
      </c>
      <c r="D189" s="10" t="s">
        <v>204</v>
      </c>
      <c r="E189" s="10">
        <v>112507110</v>
      </c>
      <c r="F189" s="1">
        <v>13500</v>
      </c>
      <c r="G189" s="1">
        <v>2</v>
      </c>
      <c r="H189" s="9">
        <f t="shared" si="16"/>
        <v>6</v>
      </c>
      <c r="I189" s="6">
        <v>6</v>
      </c>
      <c r="J189" s="6">
        <v>0</v>
      </c>
      <c r="K189" s="6">
        <f t="shared" si="17"/>
        <v>6</v>
      </c>
      <c r="L189" s="14">
        <f t="shared" si="18"/>
        <v>100</v>
      </c>
      <c r="M189" s="14">
        <f t="shared" si="19"/>
        <v>81000</v>
      </c>
      <c r="N189" s="6" t="s">
        <v>69</v>
      </c>
      <c r="O189" s="6" t="s">
        <v>69</v>
      </c>
    </row>
    <row r="190" spans="1:15" x14ac:dyDescent="0.2">
      <c r="A190" s="81"/>
      <c r="B190" s="9">
        <v>27</v>
      </c>
      <c r="C190" s="22" t="s">
        <v>186</v>
      </c>
      <c r="D190" s="23" t="s">
        <v>205</v>
      </c>
      <c r="E190" s="23">
        <v>112507114</v>
      </c>
      <c r="F190" s="24">
        <v>6620</v>
      </c>
      <c r="G190" s="1">
        <v>2</v>
      </c>
      <c r="H190" s="9">
        <f t="shared" si="16"/>
        <v>6</v>
      </c>
      <c r="I190" s="6">
        <v>6</v>
      </c>
      <c r="J190" s="6">
        <v>0</v>
      </c>
      <c r="K190" s="6">
        <f t="shared" si="17"/>
        <v>6</v>
      </c>
      <c r="L190" s="14">
        <f t="shared" si="18"/>
        <v>100</v>
      </c>
      <c r="M190" s="14">
        <f t="shared" si="19"/>
        <v>39720</v>
      </c>
      <c r="N190" s="6" t="s">
        <v>69</v>
      </c>
      <c r="O190" s="6" t="s">
        <v>69</v>
      </c>
    </row>
    <row r="191" spans="1:15" x14ac:dyDescent="0.2">
      <c r="A191" s="81"/>
      <c r="B191" s="9">
        <v>28</v>
      </c>
      <c r="C191" s="11" t="s">
        <v>187</v>
      </c>
      <c r="D191" s="10">
        <v>10317358</v>
      </c>
      <c r="E191" s="10">
        <v>112507118</v>
      </c>
      <c r="F191" s="1">
        <v>0</v>
      </c>
      <c r="G191" s="1">
        <v>1</v>
      </c>
      <c r="H191" s="9">
        <f t="shared" si="16"/>
        <v>3</v>
      </c>
      <c r="I191" s="6">
        <v>3</v>
      </c>
      <c r="J191" s="6">
        <v>0</v>
      </c>
      <c r="K191" s="6">
        <f t="shared" si="17"/>
        <v>3</v>
      </c>
      <c r="L191" s="14">
        <f t="shared" si="18"/>
        <v>100</v>
      </c>
      <c r="M191" s="14">
        <f t="shared" si="19"/>
        <v>0</v>
      </c>
      <c r="N191" s="6" t="s">
        <v>69</v>
      </c>
      <c r="O191" s="6" t="s">
        <v>69</v>
      </c>
    </row>
    <row r="192" spans="1:15" ht="25.2" x14ac:dyDescent="0.2">
      <c r="A192" s="81"/>
      <c r="B192" s="9">
        <v>29</v>
      </c>
      <c r="C192" s="10" t="s">
        <v>188</v>
      </c>
      <c r="D192" s="10" t="s">
        <v>206</v>
      </c>
      <c r="E192" s="10">
        <v>135008078</v>
      </c>
      <c r="F192" s="1">
        <v>2260</v>
      </c>
      <c r="G192" s="1">
        <v>2</v>
      </c>
      <c r="H192" s="9">
        <f t="shared" si="16"/>
        <v>6</v>
      </c>
      <c r="I192" s="6">
        <v>6</v>
      </c>
      <c r="J192" s="6">
        <v>0</v>
      </c>
      <c r="K192" s="6">
        <f t="shared" si="17"/>
        <v>6</v>
      </c>
      <c r="L192" s="14">
        <f t="shared" si="18"/>
        <v>100</v>
      </c>
      <c r="M192" s="14">
        <f t="shared" si="19"/>
        <v>13560</v>
      </c>
      <c r="N192" s="6" t="s">
        <v>69</v>
      </c>
      <c r="O192" s="6" t="s">
        <v>69</v>
      </c>
    </row>
    <row r="193" spans="1:16" ht="25.2" x14ac:dyDescent="0.2">
      <c r="A193" s="81"/>
      <c r="B193" s="9">
        <v>30</v>
      </c>
      <c r="C193" s="10" t="s">
        <v>189</v>
      </c>
      <c r="D193" s="10" t="s">
        <v>207</v>
      </c>
      <c r="E193" s="10">
        <v>135008079</v>
      </c>
      <c r="F193" s="1">
        <v>1600</v>
      </c>
      <c r="G193" s="1">
        <v>2</v>
      </c>
      <c r="H193" s="9">
        <f t="shared" si="16"/>
        <v>6</v>
      </c>
      <c r="I193" s="6">
        <v>6</v>
      </c>
      <c r="J193" s="6">
        <v>0</v>
      </c>
      <c r="K193" s="6">
        <f t="shared" si="17"/>
        <v>6</v>
      </c>
      <c r="L193" s="14">
        <f t="shared" si="18"/>
        <v>100</v>
      </c>
      <c r="M193" s="14">
        <f t="shared" si="19"/>
        <v>9600</v>
      </c>
      <c r="N193" s="6" t="s">
        <v>69</v>
      </c>
      <c r="O193" s="6" t="s">
        <v>69</v>
      </c>
    </row>
    <row r="194" spans="1:16" ht="25.2" x14ac:dyDescent="0.2">
      <c r="A194" s="81"/>
      <c r="B194" s="9">
        <v>31</v>
      </c>
      <c r="C194" s="11" t="s">
        <v>190</v>
      </c>
      <c r="D194" s="10" t="s">
        <v>208</v>
      </c>
      <c r="E194" s="10">
        <v>135008076</v>
      </c>
      <c r="F194" s="1">
        <v>2600</v>
      </c>
      <c r="G194" s="1">
        <v>2</v>
      </c>
      <c r="H194" s="9">
        <f t="shared" si="16"/>
        <v>6</v>
      </c>
      <c r="I194" s="6">
        <v>6</v>
      </c>
      <c r="J194" s="6">
        <v>0</v>
      </c>
      <c r="K194" s="6">
        <f t="shared" si="17"/>
        <v>6</v>
      </c>
      <c r="L194" s="14">
        <f t="shared" si="18"/>
        <v>100</v>
      </c>
      <c r="M194" s="14">
        <f t="shared" si="19"/>
        <v>15600</v>
      </c>
      <c r="N194" s="6" t="s">
        <v>69</v>
      </c>
      <c r="O194" s="6" t="s">
        <v>69</v>
      </c>
    </row>
    <row r="195" spans="1:16" x14ac:dyDescent="0.2">
      <c r="A195" s="81"/>
      <c r="B195" s="9">
        <v>32</v>
      </c>
      <c r="C195" s="11" t="s">
        <v>191</v>
      </c>
      <c r="D195" s="10" t="s">
        <v>69</v>
      </c>
      <c r="E195" s="10" t="s">
        <v>174</v>
      </c>
      <c r="F195" s="1">
        <v>0</v>
      </c>
      <c r="G195" s="1">
        <v>2</v>
      </c>
      <c r="H195" s="9">
        <f t="shared" si="16"/>
        <v>6</v>
      </c>
      <c r="I195" s="6">
        <v>6</v>
      </c>
      <c r="J195" s="6">
        <v>0</v>
      </c>
      <c r="K195" s="6">
        <f t="shared" si="17"/>
        <v>6</v>
      </c>
      <c r="L195" s="14">
        <f t="shared" si="18"/>
        <v>100</v>
      </c>
      <c r="M195" s="14">
        <f t="shared" si="19"/>
        <v>0</v>
      </c>
      <c r="N195" s="6" t="s">
        <v>69</v>
      </c>
      <c r="O195" s="6" t="s">
        <v>69</v>
      </c>
    </row>
    <row r="196" spans="1:16" x14ac:dyDescent="0.2">
      <c r="A196" s="81"/>
      <c r="B196" s="9">
        <v>33</v>
      </c>
      <c r="C196" s="11" t="s">
        <v>192</v>
      </c>
      <c r="D196" s="10" t="s">
        <v>69</v>
      </c>
      <c r="E196" s="10" t="s">
        <v>174</v>
      </c>
      <c r="F196" s="1">
        <v>0</v>
      </c>
      <c r="G196" s="1">
        <v>2</v>
      </c>
      <c r="H196" s="9">
        <f t="shared" si="16"/>
        <v>6</v>
      </c>
      <c r="I196" s="6">
        <v>6</v>
      </c>
      <c r="J196" s="6">
        <v>0</v>
      </c>
      <c r="K196" s="6">
        <f t="shared" si="17"/>
        <v>6</v>
      </c>
      <c r="L196" s="14">
        <f t="shared" si="18"/>
        <v>100</v>
      </c>
      <c r="M196" s="14">
        <f t="shared" si="19"/>
        <v>0</v>
      </c>
      <c r="N196" s="6" t="s">
        <v>69</v>
      </c>
      <c r="O196" s="6" t="s">
        <v>69</v>
      </c>
    </row>
    <row r="197" spans="1:16" ht="25.2" x14ac:dyDescent="0.2">
      <c r="A197" s="82"/>
      <c r="B197" s="9">
        <v>34</v>
      </c>
      <c r="C197" s="11" t="s">
        <v>193</v>
      </c>
      <c r="D197" s="10" t="s">
        <v>209</v>
      </c>
      <c r="E197" s="10">
        <v>135008080</v>
      </c>
      <c r="F197" s="1">
        <v>1290</v>
      </c>
      <c r="G197" s="1">
        <v>4</v>
      </c>
      <c r="H197" s="9">
        <f t="shared" si="16"/>
        <v>12</v>
      </c>
      <c r="I197" s="6">
        <v>12</v>
      </c>
      <c r="J197" s="6">
        <v>0</v>
      </c>
      <c r="K197" s="6">
        <f t="shared" si="17"/>
        <v>12</v>
      </c>
      <c r="L197" s="14">
        <f t="shared" si="18"/>
        <v>100</v>
      </c>
      <c r="M197" s="14">
        <f t="shared" si="19"/>
        <v>15480</v>
      </c>
      <c r="N197" s="6" t="s">
        <v>69</v>
      </c>
      <c r="O197" s="6" t="s">
        <v>69</v>
      </c>
    </row>
    <row r="198" spans="1:16" x14ac:dyDescent="0.2">
      <c r="B198" s="9"/>
      <c r="C198" s="2"/>
      <c r="D198" s="2"/>
      <c r="E198" s="1"/>
      <c r="F198" s="1"/>
      <c r="G198" s="9"/>
      <c r="H198" s="9"/>
    </row>
    <row r="199" spans="1:16" x14ac:dyDescent="0.2">
      <c r="A199" s="80" t="s">
        <v>210</v>
      </c>
      <c r="B199" s="66" t="s">
        <v>1</v>
      </c>
      <c r="C199" s="66" t="s">
        <v>0</v>
      </c>
      <c r="D199" s="66" t="s">
        <v>2</v>
      </c>
      <c r="E199" s="70" t="s">
        <v>3</v>
      </c>
      <c r="F199" s="70" t="s">
        <v>66</v>
      </c>
      <c r="G199" s="66" t="s">
        <v>4</v>
      </c>
      <c r="H199" s="78" t="s">
        <v>270</v>
      </c>
      <c r="I199" s="66" t="s">
        <v>250</v>
      </c>
      <c r="J199" s="66" t="s">
        <v>61</v>
      </c>
      <c r="K199" s="66" t="s">
        <v>62</v>
      </c>
      <c r="L199" s="78" t="s">
        <v>68</v>
      </c>
      <c r="M199" s="78" t="s">
        <v>65</v>
      </c>
      <c r="N199" s="66" t="s">
        <v>267</v>
      </c>
      <c r="O199" s="66" t="s">
        <v>230</v>
      </c>
      <c r="P199" s="30"/>
    </row>
    <row r="200" spans="1:16" ht="25.2" customHeight="1" x14ac:dyDescent="0.2">
      <c r="A200" s="81"/>
      <c r="B200" s="66"/>
      <c r="C200" s="66"/>
      <c r="D200" s="66"/>
      <c r="E200" s="70"/>
      <c r="F200" s="70"/>
      <c r="G200" s="66"/>
      <c r="H200" s="77"/>
      <c r="I200" s="66"/>
      <c r="J200" s="66"/>
      <c r="K200" s="66"/>
      <c r="L200" s="77"/>
      <c r="M200" s="77"/>
      <c r="N200" s="66"/>
      <c r="O200" s="66"/>
      <c r="P200" s="30"/>
    </row>
    <row r="201" spans="1:16" ht="25.2" x14ac:dyDescent="0.2">
      <c r="A201" s="81"/>
      <c r="B201" s="9">
        <v>1</v>
      </c>
      <c r="C201" s="10" t="s">
        <v>211</v>
      </c>
      <c r="D201" s="10">
        <v>10374811</v>
      </c>
      <c r="E201" s="1">
        <v>112500402</v>
      </c>
      <c r="F201" s="1">
        <v>0</v>
      </c>
      <c r="G201" s="1">
        <v>1</v>
      </c>
      <c r="H201" s="1">
        <f>I201</f>
        <v>2</v>
      </c>
      <c r="I201" s="6">
        <v>2</v>
      </c>
      <c r="J201" s="6">
        <v>0</v>
      </c>
      <c r="K201" s="6">
        <f>I201-J201</f>
        <v>2</v>
      </c>
      <c r="L201" s="14">
        <f>K201/I201*100</f>
        <v>100</v>
      </c>
      <c r="M201" s="14">
        <f>K201*F201</f>
        <v>0</v>
      </c>
      <c r="N201" s="1">
        <v>1</v>
      </c>
      <c r="O201" s="1" t="s">
        <v>231</v>
      </c>
      <c r="P201" s="29"/>
    </row>
    <row r="202" spans="1:16" ht="25.2" x14ac:dyDescent="0.2">
      <c r="A202" s="81"/>
      <c r="B202" s="9">
        <v>2</v>
      </c>
      <c r="C202" s="10" t="s">
        <v>212</v>
      </c>
      <c r="D202" s="10" t="s">
        <v>233</v>
      </c>
      <c r="E202" s="1">
        <v>112500401</v>
      </c>
      <c r="F202" s="1">
        <v>17000</v>
      </c>
      <c r="G202" s="1">
        <v>2</v>
      </c>
      <c r="H202" s="1">
        <f t="shared" ref="H202:H225" si="20">I202</f>
        <v>4</v>
      </c>
      <c r="I202" s="6">
        <v>4</v>
      </c>
      <c r="J202" s="6">
        <v>0</v>
      </c>
      <c r="K202" s="6">
        <f t="shared" ref="K202:K225" si="21">I202-J202</f>
        <v>4</v>
      </c>
      <c r="L202" s="14">
        <f t="shared" ref="L202:L225" si="22">K202/I202*100</f>
        <v>100</v>
      </c>
      <c r="M202" s="14">
        <f t="shared" ref="M202:M225" si="23">K202*F202</f>
        <v>68000</v>
      </c>
      <c r="N202" s="1">
        <v>1</v>
      </c>
      <c r="O202" s="1" t="s">
        <v>232</v>
      </c>
      <c r="P202" s="29"/>
    </row>
    <row r="203" spans="1:16" ht="25.2" x14ac:dyDescent="0.2">
      <c r="A203" s="81"/>
      <c r="B203" s="9">
        <v>3</v>
      </c>
      <c r="C203" s="10" t="s">
        <v>213</v>
      </c>
      <c r="D203" s="10">
        <v>10374817</v>
      </c>
      <c r="E203" s="1">
        <v>112500403</v>
      </c>
      <c r="F203" s="1">
        <v>89000</v>
      </c>
      <c r="G203" s="1">
        <v>1</v>
      </c>
      <c r="H203" s="1">
        <f t="shared" si="20"/>
        <v>2</v>
      </c>
      <c r="I203" s="6">
        <v>2</v>
      </c>
      <c r="J203" s="6">
        <v>0</v>
      </c>
      <c r="K203" s="6">
        <f t="shared" si="21"/>
        <v>2</v>
      </c>
      <c r="L203" s="14">
        <f t="shared" si="22"/>
        <v>100</v>
      </c>
      <c r="M203" s="14">
        <f t="shared" si="23"/>
        <v>178000</v>
      </c>
      <c r="N203" s="1">
        <v>2</v>
      </c>
      <c r="O203" s="1" t="s">
        <v>231</v>
      </c>
      <c r="P203" s="29"/>
    </row>
    <row r="204" spans="1:16" ht="25.2" x14ac:dyDescent="0.2">
      <c r="A204" s="81"/>
      <c r="B204" s="9">
        <v>4</v>
      </c>
      <c r="C204" s="10" t="s">
        <v>214</v>
      </c>
      <c r="D204" s="10">
        <v>10374818</v>
      </c>
      <c r="E204" s="1">
        <v>112500404</v>
      </c>
      <c r="F204" s="1">
        <v>89000</v>
      </c>
      <c r="G204" s="1">
        <v>1</v>
      </c>
      <c r="H204" s="1">
        <f t="shared" si="20"/>
        <v>2</v>
      </c>
      <c r="I204" s="6">
        <v>2</v>
      </c>
      <c r="J204" s="6">
        <v>0</v>
      </c>
      <c r="K204" s="6">
        <f t="shared" si="21"/>
        <v>2</v>
      </c>
      <c r="L204" s="14">
        <f t="shared" si="22"/>
        <v>100</v>
      </c>
      <c r="M204" s="14">
        <f t="shared" si="23"/>
        <v>178000</v>
      </c>
      <c r="N204" s="1">
        <v>3</v>
      </c>
      <c r="O204" s="1" t="s">
        <v>231</v>
      </c>
      <c r="P204" s="29"/>
    </row>
    <row r="205" spans="1:16" ht="25.2" x14ac:dyDescent="0.2">
      <c r="A205" s="81"/>
      <c r="B205" s="9">
        <v>5</v>
      </c>
      <c r="C205" s="10" t="s">
        <v>215</v>
      </c>
      <c r="D205" s="10" t="s">
        <v>234</v>
      </c>
      <c r="E205" s="1">
        <v>112500405</v>
      </c>
      <c r="F205" s="1">
        <v>17000</v>
      </c>
      <c r="G205" s="1">
        <v>2</v>
      </c>
      <c r="H205" s="1">
        <f t="shared" si="20"/>
        <v>4</v>
      </c>
      <c r="I205" s="6">
        <v>4</v>
      </c>
      <c r="J205" s="6">
        <v>0</v>
      </c>
      <c r="K205" s="6">
        <f t="shared" si="21"/>
        <v>4</v>
      </c>
      <c r="L205" s="14">
        <f t="shared" si="22"/>
        <v>100</v>
      </c>
      <c r="M205" s="14">
        <f t="shared" si="23"/>
        <v>68000</v>
      </c>
      <c r="N205" s="1">
        <v>3</v>
      </c>
      <c r="O205" s="1" t="s">
        <v>232</v>
      </c>
      <c r="P205" s="29"/>
    </row>
    <row r="206" spans="1:16" ht="25.2" x14ac:dyDescent="0.2">
      <c r="A206" s="81"/>
      <c r="B206" s="9">
        <v>6</v>
      </c>
      <c r="C206" s="10" t="s">
        <v>216</v>
      </c>
      <c r="D206" s="10" t="s">
        <v>235</v>
      </c>
      <c r="E206" s="1">
        <v>112500406</v>
      </c>
      <c r="F206" s="1">
        <v>12400</v>
      </c>
      <c r="G206" s="1">
        <v>2</v>
      </c>
      <c r="H206" s="1">
        <f t="shared" si="20"/>
        <v>4</v>
      </c>
      <c r="I206" s="6">
        <v>4</v>
      </c>
      <c r="J206" s="6">
        <v>0</v>
      </c>
      <c r="K206" s="6">
        <f t="shared" si="21"/>
        <v>4</v>
      </c>
      <c r="L206" s="14">
        <f t="shared" si="22"/>
        <v>100</v>
      </c>
      <c r="M206" s="14">
        <f t="shared" si="23"/>
        <v>49600</v>
      </c>
      <c r="N206" s="1">
        <v>4</v>
      </c>
      <c r="O206" s="1" t="s">
        <v>231</v>
      </c>
      <c r="P206" s="29"/>
    </row>
    <row r="207" spans="1:16" ht="25.2" x14ac:dyDescent="0.2">
      <c r="A207" s="81"/>
      <c r="B207" s="9">
        <v>7</v>
      </c>
      <c r="C207" s="10" t="s">
        <v>217</v>
      </c>
      <c r="D207" s="10">
        <v>10380084</v>
      </c>
      <c r="E207" s="1">
        <v>112500407</v>
      </c>
      <c r="F207" s="1">
        <v>10400</v>
      </c>
      <c r="G207" s="1">
        <v>2</v>
      </c>
      <c r="H207" s="1">
        <f t="shared" si="20"/>
        <v>4</v>
      </c>
      <c r="I207" s="6">
        <v>4</v>
      </c>
      <c r="J207" s="6">
        <v>0</v>
      </c>
      <c r="K207" s="6">
        <f t="shared" si="21"/>
        <v>4</v>
      </c>
      <c r="L207" s="14">
        <f t="shared" si="22"/>
        <v>100</v>
      </c>
      <c r="M207" s="14">
        <f t="shared" si="23"/>
        <v>41600</v>
      </c>
      <c r="N207" s="1">
        <v>5</v>
      </c>
      <c r="O207" s="1" t="s">
        <v>232</v>
      </c>
      <c r="P207" s="29"/>
    </row>
    <row r="208" spans="1:16" ht="25.2" x14ac:dyDescent="0.2">
      <c r="A208" s="81"/>
      <c r="B208" s="9">
        <v>8</v>
      </c>
      <c r="C208" s="10" t="s">
        <v>218</v>
      </c>
      <c r="D208" s="10" t="s">
        <v>236</v>
      </c>
      <c r="E208" s="1">
        <v>112500408</v>
      </c>
      <c r="F208" s="1">
        <v>8800</v>
      </c>
      <c r="G208" s="1">
        <v>2</v>
      </c>
      <c r="H208" s="1">
        <f t="shared" si="20"/>
        <v>4</v>
      </c>
      <c r="I208" s="6">
        <v>4</v>
      </c>
      <c r="J208" s="6">
        <v>0</v>
      </c>
      <c r="K208" s="6">
        <f t="shared" si="21"/>
        <v>4</v>
      </c>
      <c r="L208" s="14">
        <f t="shared" si="22"/>
        <v>100</v>
      </c>
      <c r="M208" s="14">
        <f t="shared" si="23"/>
        <v>35200</v>
      </c>
      <c r="N208" s="1">
        <v>6</v>
      </c>
      <c r="O208" s="1" t="s">
        <v>231</v>
      </c>
      <c r="P208" s="29"/>
    </row>
    <row r="209" spans="1:16" ht="25.2" x14ac:dyDescent="0.2">
      <c r="A209" s="81"/>
      <c r="B209" s="9">
        <v>9</v>
      </c>
      <c r="C209" s="10" t="s">
        <v>219</v>
      </c>
      <c r="D209" s="10">
        <v>10380085</v>
      </c>
      <c r="E209" s="1">
        <v>112500409</v>
      </c>
      <c r="F209" s="1">
        <v>14800</v>
      </c>
      <c r="G209" s="1">
        <v>2</v>
      </c>
      <c r="H209" s="1">
        <f t="shared" si="20"/>
        <v>4</v>
      </c>
      <c r="I209" s="6">
        <v>4</v>
      </c>
      <c r="J209" s="6">
        <v>0</v>
      </c>
      <c r="K209" s="6">
        <f t="shared" si="21"/>
        <v>4</v>
      </c>
      <c r="L209" s="14">
        <f t="shared" si="22"/>
        <v>100</v>
      </c>
      <c r="M209" s="14">
        <f t="shared" si="23"/>
        <v>59200</v>
      </c>
      <c r="N209" s="1">
        <v>7</v>
      </c>
      <c r="O209" s="1" t="s">
        <v>232</v>
      </c>
      <c r="P209" s="29"/>
    </row>
    <row r="210" spans="1:16" ht="25.2" x14ac:dyDescent="0.2">
      <c r="A210" s="81"/>
      <c r="B210" s="9">
        <v>10</v>
      </c>
      <c r="C210" s="10" t="s">
        <v>220</v>
      </c>
      <c r="D210" s="10" t="s">
        <v>237</v>
      </c>
      <c r="E210" s="1">
        <v>112500410</v>
      </c>
      <c r="F210" s="1">
        <v>8800</v>
      </c>
      <c r="G210" s="1">
        <v>2</v>
      </c>
      <c r="H210" s="1">
        <f t="shared" si="20"/>
        <v>4</v>
      </c>
      <c r="I210" s="6">
        <v>4</v>
      </c>
      <c r="J210" s="6">
        <v>0</v>
      </c>
      <c r="K210" s="6">
        <f t="shared" si="21"/>
        <v>4</v>
      </c>
      <c r="L210" s="14">
        <f t="shared" si="22"/>
        <v>100</v>
      </c>
      <c r="M210" s="14">
        <f t="shared" si="23"/>
        <v>35200</v>
      </c>
      <c r="N210" s="1">
        <v>8</v>
      </c>
      <c r="O210" s="1" t="s">
        <v>231</v>
      </c>
      <c r="P210" s="29"/>
    </row>
    <row r="211" spans="1:16" ht="25.2" x14ac:dyDescent="0.2">
      <c r="A211" s="81"/>
      <c r="B211" s="9">
        <v>11</v>
      </c>
      <c r="C211" s="10" t="s">
        <v>221</v>
      </c>
      <c r="D211" s="10" t="s">
        <v>238</v>
      </c>
      <c r="E211" s="1">
        <v>112508015</v>
      </c>
      <c r="F211" s="1">
        <v>0</v>
      </c>
      <c r="G211" s="1">
        <v>2</v>
      </c>
      <c r="H211" s="1">
        <f t="shared" si="20"/>
        <v>4</v>
      </c>
      <c r="I211" s="6">
        <v>4</v>
      </c>
      <c r="J211" s="6">
        <v>0</v>
      </c>
      <c r="K211" s="6">
        <f t="shared" si="21"/>
        <v>4</v>
      </c>
      <c r="L211" s="14">
        <f t="shared" si="22"/>
        <v>100</v>
      </c>
      <c r="M211" s="14">
        <f t="shared" si="23"/>
        <v>0</v>
      </c>
      <c r="N211" s="1">
        <v>9</v>
      </c>
      <c r="O211" s="1" t="s">
        <v>232</v>
      </c>
      <c r="P211" s="29"/>
    </row>
    <row r="212" spans="1:16" ht="25.2" x14ac:dyDescent="0.2">
      <c r="A212" s="81"/>
      <c r="B212" s="9">
        <v>12</v>
      </c>
      <c r="C212" s="10" t="s">
        <v>222</v>
      </c>
      <c r="D212" s="10" t="s">
        <v>239</v>
      </c>
      <c r="E212" s="1">
        <v>112508016</v>
      </c>
      <c r="F212" s="1">
        <v>6984</v>
      </c>
      <c r="G212" s="1">
        <v>2</v>
      </c>
      <c r="H212" s="1">
        <f t="shared" si="20"/>
        <v>4</v>
      </c>
      <c r="I212" s="6">
        <v>4</v>
      </c>
      <c r="J212" s="6">
        <v>0</v>
      </c>
      <c r="K212" s="6">
        <f t="shared" si="21"/>
        <v>4</v>
      </c>
      <c r="L212" s="14">
        <f t="shared" si="22"/>
        <v>100</v>
      </c>
      <c r="M212" s="14">
        <f t="shared" si="23"/>
        <v>27936</v>
      </c>
      <c r="N212" s="1">
        <v>10</v>
      </c>
      <c r="O212" s="1" t="s">
        <v>231</v>
      </c>
      <c r="P212" s="29"/>
    </row>
    <row r="213" spans="1:16" ht="25.2" x14ac:dyDescent="0.2">
      <c r="A213" s="81"/>
      <c r="B213" s="9">
        <v>13</v>
      </c>
      <c r="C213" s="10" t="s">
        <v>223</v>
      </c>
      <c r="D213" s="10" t="s">
        <v>240</v>
      </c>
      <c r="E213" s="1">
        <v>112508017</v>
      </c>
      <c r="F213" s="1">
        <v>7663</v>
      </c>
      <c r="G213" s="1">
        <v>2</v>
      </c>
      <c r="H213" s="1">
        <f t="shared" si="20"/>
        <v>4</v>
      </c>
      <c r="I213" s="6">
        <v>4</v>
      </c>
      <c r="J213" s="6">
        <v>0</v>
      </c>
      <c r="K213" s="6">
        <f t="shared" si="21"/>
        <v>4</v>
      </c>
      <c r="L213" s="14">
        <f t="shared" si="22"/>
        <v>100</v>
      </c>
      <c r="M213" s="14">
        <f t="shared" si="23"/>
        <v>30652</v>
      </c>
      <c r="N213" s="1">
        <v>11</v>
      </c>
      <c r="O213" s="1" t="s">
        <v>232</v>
      </c>
      <c r="P213" s="29"/>
    </row>
    <row r="214" spans="1:16" ht="25.2" x14ac:dyDescent="0.2">
      <c r="A214" s="81"/>
      <c r="B214" s="9">
        <v>14</v>
      </c>
      <c r="C214" s="10" t="s">
        <v>224</v>
      </c>
      <c r="D214" s="10" t="s">
        <v>241</v>
      </c>
      <c r="E214" s="1">
        <v>112052048</v>
      </c>
      <c r="F214" s="1">
        <v>5488</v>
      </c>
      <c r="G214" s="1">
        <v>2</v>
      </c>
      <c r="H214" s="1">
        <f t="shared" si="20"/>
        <v>4</v>
      </c>
      <c r="I214" s="6">
        <v>4</v>
      </c>
      <c r="J214" s="6">
        <v>0</v>
      </c>
      <c r="K214" s="6">
        <f t="shared" si="21"/>
        <v>4</v>
      </c>
      <c r="L214" s="14">
        <f t="shared" si="22"/>
        <v>100</v>
      </c>
      <c r="M214" s="14">
        <f t="shared" si="23"/>
        <v>21952</v>
      </c>
      <c r="N214" s="1">
        <v>12</v>
      </c>
      <c r="O214" s="1" t="s">
        <v>231</v>
      </c>
      <c r="P214" s="29"/>
    </row>
    <row r="215" spans="1:16" ht="25.2" x14ac:dyDescent="0.2">
      <c r="A215" s="81"/>
      <c r="B215" s="9">
        <v>15</v>
      </c>
      <c r="C215" s="10" t="s">
        <v>225</v>
      </c>
      <c r="D215" s="10" t="s">
        <v>242</v>
      </c>
      <c r="E215" s="1">
        <v>112052049</v>
      </c>
      <c r="F215" s="1">
        <v>4561</v>
      </c>
      <c r="G215" s="1">
        <v>2</v>
      </c>
      <c r="H215" s="1">
        <f t="shared" si="20"/>
        <v>4</v>
      </c>
      <c r="I215" s="6">
        <v>4</v>
      </c>
      <c r="J215" s="6">
        <v>0</v>
      </c>
      <c r="K215" s="6">
        <f t="shared" si="21"/>
        <v>4</v>
      </c>
      <c r="L215" s="14">
        <f t="shared" si="22"/>
        <v>100</v>
      </c>
      <c r="M215" s="14">
        <f t="shared" si="23"/>
        <v>18244</v>
      </c>
      <c r="N215" s="1">
        <v>13</v>
      </c>
      <c r="O215" s="1" t="s">
        <v>232</v>
      </c>
      <c r="P215" s="29"/>
    </row>
    <row r="216" spans="1:16" ht="25.2" x14ac:dyDescent="0.2">
      <c r="A216" s="81"/>
      <c r="B216" s="9">
        <v>16</v>
      </c>
      <c r="C216" s="10" t="s">
        <v>226</v>
      </c>
      <c r="D216" s="10" t="s">
        <v>243</v>
      </c>
      <c r="E216" s="1">
        <v>112052050</v>
      </c>
      <c r="F216" s="1">
        <v>6984</v>
      </c>
      <c r="G216" s="1">
        <v>2</v>
      </c>
      <c r="H216" s="1">
        <f t="shared" si="20"/>
        <v>4</v>
      </c>
      <c r="I216" s="6">
        <v>4</v>
      </c>
      <c r="J216" s="6">
        <v>0</v>
      </c>
      <c r="K216" s="6">
        <f t="shared" si="21"/>
        <v>4</v>
      </c>
      <c r="L216" s="14">
        <f t="shared" si="22"/>
        <v>100</v>
      </c>
      <c r="M216" s="14">
        <f t="shared" si="23"/>
        <v>27936</v>
      </c>
      <c r="N216" s="1">
        <v>14</v>
      </c>
      <c r="O216" s="1" t="s">
        <v>231</v>
      </c>
      <c r="P216" s="29"/>
    </row>
    <row r="217" spans="1:16" ht="25.2" x14ac:dyDescent="0.2">
      <c r="A217" s="81"/>
      <c r="B217" s="9">
        <v>17</v>
      </c>
      <c r="C217" s="10" t="s">
        <v>227</v>
      </c>
      <c r="D217" s="10" t="s">
        <v>244</v>
      </c>
      <c r="E217" s="1">
        <v>112052051</v>
      </c>
      <c r="F217" s="1">
        <v>6596</v>
      </c>
      <c r="G217" s="1">
        <v>2</v>
      </c>
      <c r="H217" s="1">
        <f t="shared" si="20"/>
        <v>4</v>
      </c>
      <c r="I217" s="6">
        <v>4</v>
      </c>
      <c r="J217" s="6">
        <v>0</v>
      </c>
      <c r="K217" s="6">
        <f t="shared" si="21"/>
        <v>4</v>
      </c>
      <c r="L217" s="14">
        <f t="shared" si="22"/>
        <v>100</v>
      </c>
      <c r="M217" s="14">
        <f t="shared" si="23"/>
        <v>26384</v>
      </c>
      <c r="N217" s="1">
        <v>15</v>
      </c>
      <c r="O217" s="1" t="s">
        <v>232</v>
      </c>
      <c r="P217" s="29"/>
    </row>
    <row r="218" spans="1:16" ht="25.2" x14ac:dyDescent="0.2">
      <c r="A218" s="81"/>
      <c r="B218" s="9">
        <v>18</v>
      </c>
      <c r="C218" s="10" t="s">
        <v>228</v>
      </c>
      <c r="D218" s="10">
        <v>10376342</v>
      </c>
      <c r="E218" s="1">
        <v>112508018</v>
      </c>
      <c r="F218" s="1">
        <v>28615</v>
      </c>
      <c r="G218" s="1">
        <v>1</v>
      </c>
      <c r="H218" s="1">
        <f t="shared" si="20"/>
        <v>2</v>
      </c>
      <c r="I218" s="6">
        <v>2</v>
      </c>
      <c r="J218" s="6">
        <v>0</v>
      </c>
      <c r="K218" s="6">
        <f t="shared" si="21"/>
        <v>2</v>
      </c>
      <c r="L218" s="14">
        <f t="shared" si="22"/>
        <v>100</v>
      </c>
      <c r="M218" s="14">
        <f t="shared" si="23"/>
        <v>57230</v>
      </c>
      <c r="N218" s="1" t="s">
        <v>246</v>
      </c>
      <c r="O218" s="1" t="s">
        <v>232</v>
      </c>
      <c r="P218" s="29"/>
    </row>
    <row r="219" spans="1:16" ht="25.2" x14ac:dyDescent="0.2">
      <c r="A219" s="81"/>
      <c r="B219" s="9">
        <v>19</v>
      </c>
      <c r="C219" s="10" t="s">
        <v>229</v>
      </c>
      <c r="D219" s="10">
        <v>10374806</v>
      </c>
      <c r="E219" s="1">
        <v>112508024</v>
      </c>
      <c r="F219" s="1">
        <v>25000</v>
      </c>
      <c r="G219" s="1">
        <v>1</v>
      </c>
      <c r="H219" s="1">
        <f t="shared" si="20"/>
        <v>3</v>
      </c>
      <c r="I219" s="6">
        <v>3</v>
      </c>
      <c r="J219" s="6">
        <v>0</v>
      </c>
      <c r="K219" s="6">
        <f t="shared" si="21"/>
        <v>3</v>
      </c>
      <c r="L219" s="14">
        <f t="shared" si="22"/>
        <v>100</v>
      </c>
      <c r="M219" s="14">
        <f t="shared" si="23"/>
        <v>75000</v>
      </c>
      <c r="N219" s="1" t="s">
        <v>247</v>
      </c>
      <c r="O219" s="1" t="s">
        <v>231</v>
      </c>
      <c r="P219" s="29"/>
    </row>
    <row r="220" spans="1:16" ht="25.2" x14ac:dyDescent="0.2">
      <c r="A220" s="81"/>
      <c r="B220" s="9">
        <v>20</v>
      </c>
      <c r="C220" s="10" t="s">
        <v>229</v>
      </c>
      <c r="D220" s="10">
        <v>10374805</v>
      </c>
      <c r="E220" s="1">
        <v>112508019</v>
      </c>
      <c r="F220" s="1">
        <v>109998</v>
      </c>
      <c r="G220" s="1">
        <v>2</v>
      </c>
      <c r="H220" s="1">
        <f t="shared" si="20"/>
        <v>2</v>
      </c>
      <c r="I220" s="6">
        <v>2</v>
      </c>
      <c r="J220" s="6">
        <v>0</v>
      </c>
      <c r="K220" s="6">
        <f t="shared" si="21"/>
        <v>2</v>
      </c>
      <c r="L220" s="14">
        <f t="shared" si="22"/>
        <v>100</v>
      </c>
      <c r="M220" s="14">
        <f t="shared" si="23"/>
        <v>219996</v>
      </c>
      <c r="N220" s="1" t="s">
        <v>248</v>
      </c>
      <c r="O220" s="1" t="s">
        <v>232</v>
      </c>
      <c r="P220" s="29"/>
    </row>
    <row r="221" spans="1:16" ht="25.2" x14ac:dyDescent="0.2">
      <c r="A221" s="81"/>
      <c r="B221" s="9">
        <v>21</v>
      </c>
      <c r="C221" s="10" t="s">
        <v>229</v>
      </c>
      <c r="D221" s="10">
        <v>10374813</v>
      </c>
      <c r="E221" s="1">
        <v>112500415</v>
      </c>
      <c r="F221" s="1">
        <v>41600</v>
      </c>
      <c r="G221" s="1">
        <v>1</v>
      </c>
      <c r="H221" s="1">
        <f t="shared" si="20"/>
        <v>1</v>
      </c>
      <c r="I221" s="6">
        <v>1</v>
      </c>
      <c r="J221" s="6">
        <v>0</v>
      </c>
      <c r="K221" s="6">
        <f t="shared" si="21"/>
        <v>1</v>
      </c>
      <c r="L221" s="14">
        <f t="shared" si="22"/>
        <v>100</v>
      </c>
      <c r="M221" s="14">
        <f t="shared" si="23"/>
        <v>41600</v>
      </c>
      <c r="N221" s="1">
        <v>3</v>
      </c>
      <c r="O221" s="1" t="s">
        <v>232</v>
      </c>
      <c r="P221" s="29"/>
    </row>
    <row r="222" spans="1:16" ht="25.2" x14ac:dyDescent="0.2">
      <c r="A222" s="81"/>
      <c r="B222" s="9">
        <v>22</v>
      </c>
      <c r="C222" s="10" t="s">
        <v>229</v>
      </c>
      <c r="D222" s="10">
        <v>10374797</v>
      </c>
      <c r="E222" s="1">
        <v>112500416</v>
      </c>
      <c r="F222" s="1">
        <v>83000</v>
      </c>
      <c r="G222" s="1">
        <v>1</v>
      </c>
      <c r="H222" s="1">
        <f t="shared" si="20"/>
        <v>1</v>
      </c>
      <c r="I222" s="6">
        <v>1</v>
      </c>
      <c r="J222" s="6">
        <v>0</v>
      </c>
      <c r="K222" s="6">
        <f t="shared" si="21"/>
        <v>1</v>
      </c>
      <c r="L222" s="14">
        <f t="shared" si="22"/>
        <v>100</v>
      </c>
      <c r="M222" s="14">
        <f t="shared" si="23"/>
        <v>83000</v>
      </c>
      <c r="N222" s="1">
        <v>4</v>
      </c>
      <c r="O222" s="1" t="s">
        <v>231</v>
      </c>
      <c r="P222" s="29"/>
    </row>
    <row r="223" spans="1:16" ht="25.2" x14ac:dyDescent="0.2">
      <c r="A223" s="81"/>
      <c r="B223" s="9">
        <v>23</v>
      </c>
      <c r="C223" s="10" t="s">
        <v>229</v>
      </c>
      <c r="D223" s="10">
        <v>10380527</v>
      </c>
      <c r="E223" s="1">
        <v>112500417</v>
      </c>
      <c r="F223" s="1">
        <v>37300</v>
      </c>
      <c r="G223" s="1">
        <v>1</v>
      </c>
      <c r="H223" s="1">
        <f t="shared" si="20"/>
        <v>2</v>
      </c>
      <c r="I223" s="6">
        <v>2</v>
      </c>
      <c r="J223" s="6">
        <v>0</v>
      </c>
      <c r="K223" s="6">
        <f t="shared" si="21"/>
        <v>2</v>
      </c>
      <c r="L223" s="14">
        <f t="shared" si="22"/>
        <v>100</v>
      </c>
      <c r="M223" s="14">
        <f t="shared" si="23"/>
        <v>74600</v>
      </c>
      <c r="N223" s="1" t="s">
        <v>249</v>
      </c>
      <c r="O223" s="1" t="s">
        <v>232</v>
      </c>
      <c r="P223" s="29"/>
    </row>
    <row r="224" spans="1:16" ht="25.2" x14ac:dyDescent="0.2">
      <c r="A224" s="81"/>
      <c r="B224" s="9">
        <v>24</v>
      </c>
      <c r="C224" s="10" t="s">
        <v>229</v>
      </c>
      <c r="D224" s="10">
        <v>10380070</v>
      </c>
      <c r="E224" s="1">
        <v>112500418</v>
      </c>
      <c r="F224" s="1">
        <v>33800</v>
      </c>
      <c r="G224" s="1">
        <v>1</v>
      </c>
      <c r="H224" s="1">
        <f t="shared" si="20"/>
        <v>1</v>
      </c>
      <c r="I224" s="6">
        <v>1</v>
      </c>
      <c r="J224" s="6">
        <v>0</v>
      </c>
      <c r="K224" s="6">
        <f t="shared" si="21"/>
        <v>1</v>
      </c>
      <c r="L224" s="14">
        <f t="shared" si="22"/>
        <v>100</v>
      </c>
      <c r="M224" s="14">
        <f t="shared" si="23"/>
        <v>33800</v>
      </c>
      <c r="N224" s="1">
        <v>6</v>
      </c>
      <c r="O224" s="1" t="s">
        <v>231</v>
      </c>
      <c r="P224" s="29"/>
    </row>
    <row r="225" spans="1:16" ht="25.2" x14ac:dyDescent="0.2">
      <c r="A225" s="82"/>
      <c r="B225" s="9">
        <v>25</v>
      </c>
      <c r="C225" s="10" t="s">
        <v>229</v>
      </c>
      <c r="D225" s="10">
        <v>10380086</v>
      </c>
      <c r="E225" s="1">
        <v>112500419</v>
      </c>
      <c r="F225" s="1">
        <v>32800</v>
      </c>
      <c r="G225" s="1">
        <v>1</v>
      </c>
      <c r="H225" s="1">
        <f t="shared" si="20"/>
        <v>1</v>
      </c>
      <c r="I225" s="6">
        <v>1</v>
      </c>
      <c r="J225" s="6">
        <v>0</v>
      </c>
      <c r="K225" s="6">
        <f t="shared" si="21"/>
        <v>1</v>
      </c>
      <c r="L225" s="14">
        <f t="shared" si="22"/>
        <v>100</v>
      </c>
      <c r="M225" s="14">
        <f t="shared" si="23"/>
        <v>32800</v>
      </c>
      <c r="N225" s="1">
        <v>8</v>
      </c>
      <c r="O225" s="1" t="s">
        <v>231</v>
      </c>
      <c r="P225" s="29"/>
    </row>
    <row r="226" spans="1:16" x14ac:dyDescent="0.2">
      <c r="B226" s="9"/>
      <c r="C226" s="2"/>
      <c r="D226" s="2"/>
      <c r="E226" s="1"/>
      <c r="F226" s="1"/>
      <c r="G226" s="9"/>
      <c r="H226" s="9"/>
    </row>
    <row r="227" spans="1:16" x14ac:dyDescent="0.2">
      <c r="A227" s="80" t="s">
        <v>251</v>
      </c>
      <c r="B227" s="66" t="s">
        <v>1</v>
      </c>
      <c r="C227" s="66" t="s">
        <v>0</v>
      </c>
      <c r="D227" s="66" t="s">
        <v>2</v>
      </c>
      <c r="E227" s="70" t="s">
        <v>3</v>
      </c>
      <c r="F227" s="70" t="s">
        <v>66</v>
      </c>
      <c r="G227" s="66" t="s">
        <v>4</v>
      </c>
      <c r="H227" s="78" t="s">
        <v>5</v>
      </c>
      <c r="I227" s="66" t="s">
        <v>250</v>
      </c>
      <c r="J227" s="66" t="s">
        <v>61</v>
      </c>
      <c r="K227" s="66" t="s">
        <v>62</v>
      </c>
      <c r="L227" s="78" t="s">
        <v>68</v>
      </c>
      <c r="M227" s="78" t="s">
        <v>65</v>
      </c>
      <c r="N227" s="66" t="s">
        <v>267</v>
      </c>
      <c r="O227" s="66" t="s">
        <v>230</v>
      </c>
    </row>
    <row r="228" spans="1:16" ht="28.2" customHeight="1" x14ac:dyDescent="0.2">
      <c r="A228" s="81"/>
      <c r="B228" s="66"/>
      <c r="C228" s="66"/>
      <c r="D228" s="66"/>
      <c r="E228" s="70"/>
      <c r="F228" s="70"/>
      <c r="G228" s="66"/>
      <c r="H228" s="77"/>
      <c r="I228" s="66"/>
      <c r="J228" s="66"/>
      <c r="K228" s="66"/>
      <c r="L228" s="77"/>
      <c r="M228" s="77"/>
      <c r="N228" s="66"/>
      <c r="O228" s="66"/>
    </row>
    <row r="229" spans="1:16" ht="25.2" x14ac:dyDescent="0.2">
      <c r="A229" s="81"/>
      <c r="B229" s="9">
        <v>1</v>
      </c>
      <c r="C229" s="10" t="s">
        <v>252</v>
      </c>
      <c r="D229" s="10">
        <v>10374159</v>
      </c>
      <c r="E229" s="10"/>
      <c r="F229" s="1" t="s">
        <v>69</v>
      </c>
      <c r="G229" s="1">
        <v>1</v>
      </c>
      <c r="H229" s="1">
        <f>I229</f>
        <v>4</v>
      </c>
      <c r="I229" s="1">
        <v>4</v>
      </c>
      <c r="J229" s="6">
        <v>0</v>
      </c>
      <c r="K229" s="6">
        <f>I229-J229</f>
        <v>4</v>
      </c>
      <c r="L229" s="14">
        <f>K229/I229*100</f>
        <v>100</v>
      </c>
      <c r="M229" s="6">
        <v>0</v>
      </c>
      <c r="N229" s="1" t="s">
        <v>255</v>
      </c>
      <c r="O229" s="6" t="s">
        <v>69</v>
      </c>
    </row>
    <row r="230" spans="1:16" x14ac:dyDescent="0.2">
      <c r="A230" s="81"/>
      <c r="B230" s="9">
        <v>2</v>
      </c>
      <c r="C230" s="10" t="s">
        <v>253</v>
      </c>
      <c r="D230" s="10">
        <v>10380080</v>
      </c>
      <c r="E230" s="10">
        <v>135001241</v>
      </c>
      <c r="F230" s="1" t="s">
        <v>69</v>
      </c>
      <c r="G230" s="1">
        <v>1</v>
      </c>
      <c r="H230" s="1">
        <f t="shared" ref="H230:H238" si="24">I230</f>
        <v>2</v>
      </c>
      <c r="I230" s="1">
        <v>2</v>
      </c>
      <c r="J230" s="6">
        <v>0</v>
      </c>
      <c r="K230" s="6">
        <f t="shared" ref="K230:K238" si="25">I230-J230</f>
        <v>2</v>
      </c>
      <c r="L230" s="14">
        <f t="shared" ref="L230:L238" si="26">K230/I230*100</f>
        <v>100</v>
      </c>
      <c r="M230" s="6">
        <v>0</v>
      </c>
      <c r="N230" s="1" t="s">
        <v>256</v>
      </c>
      <c r="O230" s="6" t="s">
        <v>69</v>
      </c>
    </row>
    <row r="231" spans="1:16" x14ac:dyDescent="0.2">
      <c r="A231" s="81"/>
      <c r="B231" s="9">
        <v>3</v>
      </c>
      <c r="C231" s="10" t="s">
        <v>211</v>
      </c>
      <c r="D231" s="10">
        <v>10374811</v>
      </c>
      <c r="E231" s="10">
        <v>112500530</v>
      </c>
      <c r="F231" s="1" t="s">
        <v>69</v>
      </c>
      <c r="G231" s="1">
        <v>1</v>
      </c>
      <c r="H231" s="1">
        <f t="shared" si="24"/>
        <v>1</v>
      </c>
      <c r="I231" s="1">
        <v>1</v>
      </c>
      <c r="J231" s="6">
        <v>0</v>
      </c>
      <c r="K231" s="6">
        <f t="shared" si="25"/>
        <v>1</v>
      </c>
      <c r="L231" s="14">
        <f t="shared" si="26"/>
        <v>100</v>
      </c>
      <c r="M231" s="6">
        <v>0</v>
      </c>
      <c r="N231" s="1" t="s">
        <v>257</v>
      </c>
      <c r="O231" s="6" t="s">
        <v>69</v>
      </c>
    </row>
    <row r="232" spans="1:16" x14ac:dyDescent="0.2">
      <c r="A232" s="81"/>
      <c r="B232" s="9">
        <v>4</v>
      </c>
      <c r="C232" s="10" t="s">
        <v>253</v>
      </c>
      <c r="D232" s="10">
        <v>10380081</v>
      </c>
      <c r="E232" s="10">
        <v>135001243</v>
      </c>
      <c r="F232" s="1" t="s">
        <v>69</v>
      </c>
      <c r="G232" s="1">
        <v>1</v>
      </c>
      <c r="H232" s="1">
        <f t="shared" si="24"/>
        <v>1</v>
      </c>
      <c r="I232" s="1">
        <v>1</v>
      </c>
      <c r="J232" s="6">
        <v>0</v>
      </c>
      <c r="K232" s="6">
        <f t="shared" si="25"/>
        <v>1</v>
      </c>
      <c r="L232" s="14">
        <f t="shared" si="26"/>
        <v>100</v>
      </c>
      <c r="M232" s="6">
        <v>0</v>
      </c>
      <c r="N232" s="1" t="s">
        <v>258</v>
      </c>
      <c r="O232" s="6" t="s">
        <v>69</v>
      </c>
    </row>
    <row r="233" spans="1:16" ht="37.799999999999997" x14ac:dyDescent="0.2">
      <c r="A233" s="81"/>
      <c r="B233" s="9">
        <v>5</v>
      </c>
      <c r="C233" s="10" t="s">
        <v>253</v>
      </c>
      <c r="D233" s="10">
        <v>10380082</v>
      </c>
      <c r="E233" s="10">
        <v>135001239</v>
      </c>
      <c r="F233" s="1" t="s">
        <v>69</v>
      </c>
      <c r="G233" s="1">
        <v>1</v>
      </c>
      <c r="H233" s="1">
        <f t="shared" si="24"/>
        <v>6</v>
      </c>
      <c r="I233" s="1">
        <v>6</v>
      </c>
      <c r="J233" s="6">
        <v>0</v>
      </c>
      <c r="K233" s="6">
        <f t="shared" si="25"/>
        <v>6</v>
      </c>
      <c r="L233" s="14">
        <f t="shared" si="26"/>
        <v>100</v>
      </c>
      <c r="M233" s="6">
        <v>0</v>
      </c>
      <c r="N233" s="1" t="s">
        <v>259</v>
      </c>
      <c r="O233" s="6" t="s">
        <v>69</v>
      </c>
    </row>
    <row r="234" spans="1:16" x14ac:dyDescent="0.2">
      <c r="A234" s="81"/>
      <c r="B234" s="9">
        <v>6</v>
      </c>
      <c r="C234" s="10" t="s">
        <v>252</v>
      </c>
      <c r="D234" s="10">
        <v>10399482</v>
      </c>
      <c r="E234" s="10"/>
      <c r="F234" s="1" t="s">
        <v>69</v>
      </c>
      <c r="G234" s="1">
        <v>1</v>
      </c>
      <c r="H234" s="1">
        <f t="shared" si="24"/>
        <v>2</v>
      </c>
      <c r="I234" s="1">
        <v>2</v>
      </c>
      <c r="J234" s="6">
        <v>0</v>
      </c>
      <c r="K234" s="6">
        <f t="shared" si="25"/>
        <v>2</v>
      </c>
      <c r="L234" s="14">
        <f t="shared" si="26"/>
        <v>100</v>
      </c>
      <c r="M234" s="6">
        <v>0</v>
      </c>
      <c r="N234" s="1" t="s">
        <v>260</v>
      </c>
      <c r="O234" s="6" t="s">
        <v>69</v>
      </c>
    </row>
    <row r="235" spans="1:16" ht="37.799999999999997" x14ac:dyDescent="0.2">
      <c r="A235" s="81"/>
      <c r="B235" s="9">
        <v>7</v>
      </c>
      <c r="C235" s="10" t="s">
        <v>252</v>
      </c>
      <c r="D235" s="10">
        <v>10399483</v>
      </c>
      <c r="E235" s="10"/>
      <c r="F235" s="1" t="s">
        <v>69</v>
      </c>
      <c r="G235" s="1">
        <v>1</v>
      </c>
      <c r="H235" s="1">
        <f t="shared" si="24"/>
        <v>7</v>
      </c>
      <c r="I235" s="1">
        <v>7</v>
      </c>
      <c r="J235" s="6">
        <v>0</v>
      </c>
      <c r="K235" s="6">
        <f t="shared" si="25"/>
        <v>7</v>
      </c>
      <c r="L235" s="14">
        <f t="shared" si="26"/>
        <v>100</v>
      </c>
      <c r="M235" s="6">
        <v>0</v>
      </c>
      <c r="N235" s="1" t="s">
        <v>261</v>
      </c>
      <c r="O235" s="6" t="s">
        <v>69</v>
      </c>
    </row>
    <row r="236" spans="1:16" x14ac:dyDescent="0.2">
      <c r="A236" s="81"/>
      <c r="B236" s="9">
        <v>8</v>
      </c>
      <c r="C236" s="10" t="s">
        <v>252</v>
      </c>
      <c r="D236" s="10">
        <v>10399484</v>
      </c>
      <c r="E236" s="10"/>
      <c r="F236" s="1" t="s">
        <v>69</v>
      </c>
      <c r="G236" s="1">
        <v>1</v>
      </c>
      <c r="H236" s="1">
        <f t="shared" si="24"/>
        <v>1</v>
      </c>
      <c r="I236" s="1">
        <v>1</v>
      </c>
      <c r="J236" s="6">
        <v>0</v>
      </c>
      <c r="K236" s="6">
        <f t="shared" si="25"/>
        <v>1</v>
      </c>
      <c r="L236" s="14">
        <f t="shared" si="26"/>
        <v>100</v>
      </c>
      <c r="M236" s="6">
        <v>0</v>
      </c>
      <c r="N236" s="1" t="s">
        <v>258</v>
      </c>
      <c r="O236" s="6" t="s">
        <v>69</v>
      </c>
    </row>
    <row r="237" spans="1:16" x14ac:dyDescent="0.2">
      <c r="A237" s="81"/>
      <c r="B237" s="9">
        <v>9</v>
      </c>
      <c r="C237" s="10" t="s">
        <v>252</v>
      </c>
      <c r="D237" s="10">
        <v>10399485</v>
      </c>
      <c r="E237" s="10"/>
      <c r="F237" s="1" t="s">
        <v>69</v>
      </c>
      <c r="G237" s="1">
        <v>1</v>
      </c>
      <c r="H237" s="1">
        <f t="shared" si="24"/>
        <v>2</v>
      </c>
      <c r="I237" s="1">
        <v>2</v>
      </c>
      <c r="J237" s="6">
        <v>0</v>
      </c>
      <c r="K237" s="6">
        <f t="shared" si="25"/>
        <v>2</v>
      </c>
      <c r="L237" s="14">
        <f t="shared" si="26"/>
        <v>100</v>
      </c>
      <c r="M237" s="6">
        <v>0</v>
      </c>
      <c r="N237" s="1" t="s">
        <v>262</v>
      </c>
      <c r="O237" s="6" t="s">
        <v>69</v>
      </c>
    </row>
    <row r="238" spans="1:16" x14ac:dyDescent="0.2">
      <c r="A238" s="81"/>
      <c r="B238" s="9">
        <v>10</v>
      </c>
      <c r="C238" s="10" t="s">
        <v>252</v>
      </c>
      <c r="D238" s="10">
        <v>10399486</v>
      </c>
      <c r="E238" s="25"/>
      <c r="F238" s="1" t="s">
        <v>69</v>
      </c>
      <c r="G238" s="1">
        <v>1</v>
      </c>
      <c r="H238" s="1">
        <f t="shared" si="24"/>
        <v>1</v>
      </c>
      <c r="I238" s="1">
        <v>1</v>
      </c>
      <c r="J238" s="6">
        <v>0</v>
      </c>
      <c r="K238" s="6">
        <f t="shared" si="25"/>
        <v>1</v>
      </c>
      <c r="L238" s="14">
        <f t="shared" si="26"/>
        <v>100</v>
      </c>
      <c r="M238" s="6">
        <v>0</v>
      </c>
      <c r="N238" s="9" t="s">
        <v>263</v>
      </c>
      <c r="O238" s="6" t="s">
        <v>69</v>
      </c>
    </row>
    <row r="239" spans="1:16" x14ac:dyDescent="0.2">
      <c r="A239" s="81"/>
      <c r="B239" s="9">
        <v>11</v>
      </c>
      <c r="C239" s="10" t="s">
        <v>253</v>
      </c>
      <c r="D239" s="10">
        <v>10414214</v>
      </c>
      <c r="E239" s="10">
        <v>112508020</v>
      </c>
      <c r="F239" s="1"/>
      <c r="G239" s="1"/>
      <c r="H239" s="9"/>
      <c r="N239" s="1" t="s">
        <v>260</v>
      </c>
      <c r="O239" s="6" t="s">
        <v>69</v>
      </c>
    </row>
    <row r="240" spans="1:16" x14ac:dyDescent="0.2">
      <c r="A240" s="81"/>
      <c r="B240" s="9">
        <v>12</v>
      </c>
      <c r="C240" s="10" t="s">
        <v>253</v>
      </c>
      <c r="D240" s="10">
        <v>10414215</v>
      </c>
      <c r="E240" s="10">
        <v>112508021</v>
      </c>
      <c r="F240" s="1"/>
      <c r="G240" s="1"/>
      <c r="H240" s="9"/>
      <c r="N240" s="1" t="s">
        <v>262</v>
      </c>
      <c r="O240" s="6" t="s">
        <v>69</v>
      </c>
    </row>
    <row r="241" spans="1:15" x14ac:dyDescent="0.2">
      <c r="A241" s="82"/>
      <c r="B241" s="9">
        <v>13</v>
      </c>
      <c r="C241" s="10" t="s">
        <v>254</v>
      </c>
      <c r="D241" s="10">
        <v>10414216</v>
      </c>
      <c r="E241" s="10"/>
      <c r="F241" s="1"/>
      <c r="G241" s="1"/>
      <c r="H241" s="9"/>
      <c r="N241" s="1" t="s">
        <v>264</v>
      </c>
      <c r="O241" s="6" t="s">
        <v>69</v>
      </c>
    </row>
    <row r="242" spans="1:15" x14ac:dyDescent="0.2">
      <c r="B242" s="9"/>
      <c r="C242" s="10"/>
      <c r="D242" s="2"/>
      <c r="E242" s="1"/>
      <c r="F242" s="1"/>
      <c r="G242" s="9"/>
      <c r="H242" s="9"/>
    </row>
    <row r="243" spans="1:15" x14ac:dyDescent="0.2">
      <c r="B243" s="9"/>
      <c r="C243" s="10"/>
      <c r="D243" s="2"/>
      <c r="E243" s="1"/>
      <c r="F243" s="1"/>
      <c r="G243" s="9"/>
      <c r="H243" s="9"/>
    </row>
    <row r="244" spans="1:15" x14ac:dyDescent="0.2">
      <c r="B244" s="9"/>
      <c r="C244" s="10"/>
      <c r="D244" s="2"/>
      <c r="E244" s="1"/>
      <c r="F244" s="1"/>
      <c r="G244" s="9"/>
      <c r="H244" s="9"/>
    </row>
    <row r="245" spans="1:15" x14ac:dyDescent="0.2">
      <c r="B245" s="9"/>
      <c r="C245" s="2"/>
      <c r="D245" s="2"/>
      <c r="E245" s="1"/>
      <c r="F245" s="1"/>
      <c r="G245" s="9"/>
      <c r="H245" s="9"/>
    </row>
    <row r="246" spans="1:15" x14ac:dyDescent="0.2">
      <c r="B246" s="9"/>
      <c r="C246" s="2"/>
      <c r="D246" s="2"/>
      <c r="E246" s="1"/>
      <c r="F246" s="1"/>
      <c r="G246" s="9"/>
      <c r="H246" s="9"/>
    </row>
    <row r="247" spans="1:15" x14ac:dyDescent="0.2">
      <c r="B247" s="9"/>
      <c r="C247" s="2"/>
      <c r="D247" s="2"/>
      <c r="E247" s="1"/>
      <c r="F247" s="1"/>
      <c r="G247" s="9"/>
      <c r="H247" s="9"/>
    </row>
    <row r="248" spans="1:15" x14ac:dyDescent="0.2">
      <c r="B248" s="9"/>
      <c r="C248" s="2"/>
      <c r="D248" s="2"/>
      <c r="E248" s="1"/>
      <c r="F248" s="1"/>
      <c r="G248" s="9"/>
      <c r="H248" s="9"/>
    </row>
    <row r="249" spans="1:15" x14ac:dyDescent="0.2">
      <c r="B249" s="9"/>
      <c r="C249" s="2"/>
      <c r="D249" s="2"/>
      <c r="E249" s="1"/>
      <c r="F249" s="1"/>
      <c r="G249" s="9"/>
      <c r="H249" s="9"/>
    </row>
    <row r="250" spans="1:15" x14ac:dyDescent="0.2">
      <c r="B250" s="9"/>
      <c r="C250" s="2"/>
      <c r="D250" s="2"/>
      <c r="E250" s="1"/>
      <c r="F250" s="1"/>
      <c r="G250" s="9"/>
      <c r="H250" s="9"/>
    </row>
    <row r="251" spans="1:15" x14ac:dyDescent="0.2">
      <c r="B251" s="9"/>
      <c r="C251" s="2"/>
      <c r="D251" s="2"/>
      <c r="E251" s="1"/>
      <c r="F251" s="1"/>
      <c r="G251" s="9"/>
      <c r="H251" s="9"/>
    </row>
  </sheetData>
  <mergeCells count="105">
    <mergeCell ref="L1:L2"/>
    <mergeCell ref="M1:M2"/>
    <mergeCell ref="I1:I2"/>
    <mergeCell ref="K1:K2"/>
    <mergeCell ref="E1:E2"/>
    <mergeCell ref="F1:F2"/>
    <mergeCell ref="G1:G2"/>
    <mergeCell ref="H1:H2"/>
    <mergeCell ref="A1:A38"/>
    <mergeCell ref="B1:B2"/>
    <mergeCell ref="C1:C2"/>
    <mergeCell ref="D1:D2"/>
    <mergeCell ref="J1:J2"/>
    <mergeCell ref="L81:L82"/>
    <mergeCell ref="M81:M82"/>
    <mergeCell ref="B40:B41"/>
    <mergeCell ref="C40:C41"/>
    <mergeCell ref="D40:D41"/>
    <mergeCell ref="E40:E41"/>
    <mergeCell ref="F40:F41"/>
    <mergeCell ref="G40:G41"/>
    <mergeCell ref="I40:I41"/>
    <mergeCell ref="J40:J41"/>
    <mergeCell ref="K40:K41"/>
    <mergeCell ref="L40:L41"/>
    <mergeCell ref="B81:B82"/>
    <mergeCell ref="C81:C82"/>
    <mergeCell ref="D81:D82"/>
    <mergeCell ref="E81:E82"/>
    <mergeCell ref="F81:F82"/>
    <mergeCell ref="G81:G82"/>
    <mergeCell ref="I81:I82"/>
    <mergeCell ref="J81:J82"/>
    <mergeCell ref="K81:K82"/>
    <mergeCell ref="M40:M41"/>
    <mergeCell ref="L162:L163"/>
    <mergeCell ref="M162:M163"/>
    <mergeCell ref="J199:J200"/>
    <mergeCell ref="K199:K200"/>
    <mergeCell ref="B123:B124"/>
    <mergeCell ref="C123:C124"/>
    <mergeCell ref="D123:D124"/>
    <mergeCell ref="E123:E124"/>
    <mergeCell ref="F123:F124"/>
    <mergeCell ref="G123:G124"/>
    <mergeCell ref="I123:I124"/>
    <mergeCell ref="J123:J124"/>
    <mergeCell ref="K123:K124"/>
    <mergeCell ref="L123:L124"/>
    <mergeCell ref="M123:M124"/>
    <mergeCell ref="B162:B163"/>
    <mergeCell ref="C162:C163"/>
    <mergeCell ref="D162:D163"/>
    <mergeCell ref="E162:E163"/>
    <mergeCell ref="F162:F163"/>
    <mergeCell ref="G162:G163"/>
    <mergeCell ref="I162:I163"/>
    <mergeCell ref="J162:J163"/>
    <mergeCell ref="K162:K163"/>
    <mergeCell ref="M227:M228"/>
    <mergeCell ref="N227:N228"/>
    <mergeCell ref="B199:B200"/>
    <mergeCell ref="C199:C200"/>
    <mergeCell ref="L199:L200"/>
    <mergeCell ref="M199:M200"/>
    <mergeCell ref="D199:D200"/>
    <mergeCell ref="E199:E200"/>
    <mergeCell ref="F199:F200"/>
    <mergeCell ref="G199:G200"/>
    <mergeCell ref="I199:I200"/>
    <mergeCell ref="H227:H228"/>
    <mergeCell ref="N199:N200"/>
    <mergeCell ref="C227:C228"/>
    <mergeCell ref="D227:D228"/>
    <mergeCell ref="E227:E228"/>
    <mergeCell ref="F227:F228"/>
    <mergeCell ref="G227:G228"/>
    <mergeCell ref="I227:I228"/>
    <mergeCell ref="J227:J228"/>
    <mergeCell ref="K227:K228"/>
    <mergeCell ref="L227:L228"/>
    <mergeCell ref="O227:O228"/>
    <mergeCell ref="A199:A225"/>
    <mergeCell ref="A227:A241"/>
    <mergeCell ref="H40:H41"/>
    <mergeCell ref="H81:H82"/>
    <mergeCell ref="H123:H124"/>
    <mergeCell ref="H162:H163"/>
    <mergeCell ref="H199:H200"/>
    <mergeCell ref="N1:N2"/>
    <mergeCell ref="O1:O2"/>
    <mergeCell ref="N40:N41"/>
    <mergeCell ref="O40:O41"/>
    <mergeCell ref="N81:N82"/>
    <mergeCell ref="O81:O82"/>
    <mergeCell ref="A40:A79"/>
    <mergeCell ref="A81:A121"/>
    <mergeCell ref="A123:A160"/>
    <mergeCell ref="A162:A197"/>
    <mergeCell ref="N123:N124"/>
    <mergeCell ref="O123:O124"/>
    <mergeCell ref="N162:N163"/>
    <mergeCell ref="O162:O163"/>
    <mergeCell ref="O199:O200"/>
    <mergeCell ref="B227:B228"/>
  </mergeCells>
  <conditionalFormatting sqref="K3:K38 K42:K79 K83:K121 K125:K160 K164:K197">
    <cfRule type="expression" dxfId="10" priority="36">
      <formula>K3&gt;=(I3*0.66)</formula>
    </cfRule>
    <cfRule type="expression" dxfId="9" priority="37">
      <formula>K3&gt;=(I3*0.33)</formula>
    </cfRule>
    <cfRule type="expression" dxfId="8" priority="38">
      <formula>K3&lt;(I3*0.33)</formula>
    </cfRule>
  </conditionalFormatting>
  <conditionalFormatting sqref="K201:K225">
    <cfRule type="expression" dxfId="7" priority="4">
      <formula>K201&gt;=0.66*I201</formula>
    </cfRule>
    <cfRule type="expression" dxfId="6" priority="5">
      <formula>K201&gt;=0.33*I201</formula>
    </cfRule>
    <cfRule type="expression" dxfId="5" priority="6">
      <formula>K201&gt;=(0.66*I201)</formula>
    </cfRule>
    <cfRule type="expression" dxfId="4" priority="7">
      <formula>K201&gt;=(I201*0.66)</formula>
    </cfRule>
    <cfRule type="expression" dxfId="3" priority="8">
      <formula>K201&lt;(I201*0.33)</formula>
    </cfRule>
  </conditionalFormatting>
  <conditionalFormatting sqref="K229:K238">
    <cfRule type="expression" dxfId="2" priority="1">
      <formula>K229&gt;=0.66*I229</formula>
    </cfRule>
    <cfRule type="expression" dxfId="1" priority="2">
      <formula>K229&gt;=0.33*I229</formula>
    </cfRule>
    <cfRule type="expression" dxfId="0" priority="3">
      <formula>K229&lt;0.33*I229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</vt:lpstr>
      <vt:lpstr>Stock Final</vt:lpstr>
      <vt:lpstr>Stock In-Out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91700</dc:creator>
  <cp:lastModifiedBy>91700</cp:lastModifiedBy>
  <cp:lastPrinted>2022-06-19T08:47:04Z</cp:lastPrinted>
  <dcterms:created xsi:type="dcterms:W3CDTF">2022-05-26T06:09:17Z</dcterms:created>
  <dcterms:modified xsi:type="dcterms:W3CDTF">2022-07-05T10:55:45Z</dcterms:modified>
</cp:coreProperties>
</file>